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rish/battlefield/self/proj_pm_details/breaksy_ananlysis/"/>
    </mc:Choice>
  </mc:AlternateContent>
  <xr:revisionPtr revIDLastSave="0" documentId="13_ncr:1_{0D17ACBE-8542-9E4A-A8C9-1A3DF56E7F24}" xr6:coauthVersionLast="47" xr6:coauthVersionMax="47" xr10:uidLastSave="{00000000-0000-0000-0000-000000000000}"/>
  <bookViews>
    <workbookView xWindow="0" yWindow="760" windowWidth="34560" windowHeight="20480" tabRatio="500" activeTab="3" xr2:uid="{00000000-000D-0000-FFFF-FFFF00000000}"/>
  </bookViews>
  <sheets>
    <sheet name="Initial_Prep" sheetId="4" r:id="rId1"/>
    <sheet name="Nudge Log" sheetId="1" r:id="rId2"/>
    <sheet name="Daily Summary" sheetId="2" r:id="rId3"/>
    <sheet name="Feedback summary"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6" i="2" l="1"/>
  <c r="C26" i="2"/>
  <c r="G34" i="2"/>
  <c r="E38" i="2"/>
  <c r="D29" i="2"/>
  <c r="E8" i="2"/>
  <c r="D41" i="2"/>
  <c r="C41" i="2"/>
  <c r="E41" i="2" s="1"/>
  <c r="D40" i="2"/>
  <c r="C40" i="2"/>
  <c r="E40" i="2" s="1"/>
  <c r="D39" i="2"/>
  <c r="C39" i="2"/>
  <c r="E39" i="2" s="1"/>
  <c r="D38" i="2"/>
  <c r="C38" i="2"/>
  <c r="D37" i="2"/>
  <c r="C37" i="2"/>
  <c r="E37" i="2" s="1"/>
  <c r="D36" i="2"/>
  <c r="C36" i="2"/>
  <c r="E36" i="2" s="1"/>
  <c r="D35" i="2"/>
  <c r="C35" i="2"/>
  <c r="E35" i="2" s="1"/>
  <c r="D34" i="2"/>
  <c r="C34" i="2"/>
  <c r="E34" i="2" s="1"/>
  <c r="D33" i="2"/>
  <c r="C33" i="2"/>
  <c r="E33" i="2" s="1"/>
  <c r="D32" i="2"/>
  <c r="C32" i="2"/>
  <c r="E32" i="2" s="1"/>
  <c r="D31" i="2"/>
  <c r="C31" i="2"/>
  <c r="E31" i="2" s="1"/>
  <c r="D30" i="2"/>
  <c r="C30" i="2"/>
  <c r="E30" i="2" s="1"/>
  <c r="C29" i="2"/>
  <c r="E29" i="2" s="1"/>
  <c r="C28" i="2"/>
  <c r="E28" i="2" s="1"/>
  <c r="D27" i="2"/>
  <c r="C27" i="2"/>
  <c r="E27" i="2" s="1"/>
  <c r="E26" i="2"/>
  <c r="D25" i="2"/>
  <c r="C25" i="2"/>
  <c r="D24" i="2"/>
  <c r="C24" i="2"/>
  <c r="D23" i="2"/>
  <c r="C23" i="2"/>
  <c r="E23" i="2" s="1"/>
  <c r="D22" i="2"/>
  <c r="C22" i="2"/>
  <c r="D21" i="2"/>
  <c r="C21" i="2"/>
  <c r="D20" i="2"/>
  <c r="C20" i="2"/>
  <c r="E20" i="2" s="1"/>
  <c r="D19" i="2"/>
  <c r="C19" i="2"/>
  <c r="D18" i="2"/>
  <c r="C18" i="2"/>
  <c r="D17" i="2"/>
  <c r="C17" i="2"/>
  <c r="D16" i="2"/>
  <c r="C16" i="2"/>
  <c r="D15" i="2"/>
  <c r="C15" i="2"/>
  <c r="D14" i="2"/>
  <c r="C14" i="2"/>
  <c r="D13" i="2"/>
  <c r="C13" i="2"/>
  <c r="D12" i="2"/>
  <c r="C12" i="2"/>
  <c r="D11" i="2"/>
  <c r="C11" i="2"/>
  <c r="D10" i="2"/>
  <c r="C10" i="2"/>
  <c r="D9" i="2"/>
  <c r="C9" i="2"/>
  <c r="D7" i="2"/>
  <c r="C7" i="2"/>
  <c r="D6" i="2"/>
  <c r="C6" i="2"/>
  <c r="D5" i="2"/>
  <c r="C5" i="2"/>
  <c r="D4" i="2"/>
  <c r="C4" i="2"/>
  <c r="D3" i="2"/>
  <c r="C3" i="2"/>
  <c r="C2" i="2"/>
  <c r="E22" i="2" l="1"/>
  <c r="E25" i="2"/>
  <c r="E24" i="2"/>
  <c r="E21" i="2"/>
  <c r="E19" i="2"/>
  <c r="E16" i="2"/>
  <c r="E18" i="2"/>
  <c r="E17" i="2"/>
  <c r="E15" i="2"/>
  <c r="E14" i="2"/>
  <c r="E11" i="2"/>
  <c r="E12" i="2"/>
  <c r="E13" i="2"/>
  <c r="E10" i="2"/>
  <c r="E9" i="2"/>
  <c r="E5" i="2"/>
  <c r="E6" i="2"/>
  <c r="E2" i="2"/>
  <c r="E7" i="2"/>
  <c r="E3" i="2"/>
  <c r="E4" i="2"/>
</calcChain>
</file>

<file path=xl/sharedStrings.xml><?xml version="1.0" encoding="utf-8"?>
<sst xmlns="http://schemas.openxmlformats.org/spreadsheetml/2006/main" count="656" uniqueCount="176">
  <si>
    <t>Date</t>
  </si>
  <si>
    <t>Name</t>
  </si>
  <si>
    <t>Focused work time</t>
  </si>
  <si>
    <t>Start work Time</t>
  </si>
  <si>
    <t>End work time</t>
  </si>
  <si>
    <t>Nudge (1/2/3/4)</t>
  </si>
  <si>
    <t>Nudge time</t>
  </si>
  <si>
    <t>Acted (Y/N)</t>
  </si>
  <si>
    <t>Note (If missed, why)</t>
  </si>
  <si>
    <t>Y</t>
  </si>
  <si>
    <t>Nudges Sent</t>
  </si>
  <si>
    <t>Nudges Acted On</t>
  </si>
  <si>
    <t>% Acted On</t>
  </si>
  <si>
    <t>Still responding by last day? (Y/N)</t>
  </si>
  <si>
    <t>Archana</t>
  </si>
  <si>
    <t>Sushant</t>
  </si>
  <si>
    <t>Vandita</t>
  </si>
  <si>
    <t xml:space="preserve">Santosh </t>
  </si>
  <si>
    <t>Soumya</t>
  </si>
  <si>
    <t>11am-1 pm , 2-6 pm</t>
  </si>
  <si>
    <t>10am-2 pm , 4-7 pm</t>
  </si>
  <si>
    <t>9-12 pm</t>
  </si>
  <si>
    <t>Santosh — Work 11:00 AM–8:00 PM</t>
  </si>
  <si>
    <t>Window</t>
  </si>
  <si>
    <t>Type</t>
  </si>
  <si>
    <t>11:00 AM–1:00 PM</t>
  </si>
  <si>
    <t>Deep focus</t>
  </si>
  <si>
    <t>~12:00 PM</t>
  </si>
  <si>
    <t>1:00 PM–2:00 PM</t>
  </si>
  <si>
    <t>Free</t>
  </si>
  <si>
    <t>~1:45 PM</t>
  </si>
  <si>
    <t>2:00 PM–6:00 PM</t>
  </si>
  <si>
    <t>6:00 PM–8:00 PM</t>
  </si>
  <si>
    <t>Soumya — Work 9:00 AM–8:30 PM</t>
  </si>
  <si>
    <t>9:00 AM–10:00 AM</t>
  </si>
  <si>
    <t>~9:45 AM</t>
  </si>
  <si>
    <t>10:00 AM–2:00 PM</t>
  </si>
  <si>
    <t>2:00 PM–4:00 PM</t>
  </si>
  <si>
    <t>4:00 PM–7:00 PM</t>
  </si>
  <si>
    <t>7:00 PM–8:30 PM</t>
  </si>
  <si>
    <t>~8:00 PM</t>
  </si>
  <si>
    <t>Suggested time</t>
  </si>
  <si>
    <t>Nudge line</t>
  </si>
  <si>
    <t>"Know you're heads-down — just a quick one, it's been an hour. Stretch whenever you get a natural gap 🙂"</t>
  </si>
  <si>
    <t>"Quick stretch or water break before you dive back in?"</t>
  </si>
  <si>
    <t>~4:00 PM</t>
  </si>
  <si>
    <t>"Just flagging — 2 hrs in. No pressure, whenever's a good pause point."</t>
  </si>
  <si>
    <t>~6:00 PM</t>
  </si>
  <si>
    <t>"One more check-in before you wrap this stretch — quick stand-up if you can?"</t>
  </si>
  <si>
    <t>~7:00 PM</t>
  </si>
  <si>
    <t>"Hey — been about an hour again. Quick walk or stretch?"</t>
  </si>
  <si>
    <t>"Last one for the day — might be a good time to step away for a sec before you log off."</t>
  </si>
  <si>
    <t xml:space="preserve">Idea for nudges </t>
  </si>
  <si>
    <t>"Good morning! Quick stretch before you settle into deep work?"</t>
  </si>
  <si>
    <t>"Know you're focused — just a quick nudge, it's been 2 hrs. Stretch whenever's natural."</t>
  </si>
  <si>
    <t>~2:00 PM</t>
  </si>
  <si>
    <t>"Wrapping up this stretch soon — good time for a proper break before your next block?"</t>
  </si>
  <si>
    <t>~3:00 PM</t>
  </si>
  <si>
    <t>"Quick one — water or a short walk?"</t>
  </si>
  <si>
    <t>"Hey — before you head into focus mode again, a quick stretch?"</t>
  </si>
  <si>
    <t>~5:00 PM</t>
  </si>
  <si>
    <t>"Just flagging — an hour into this stretch. No pressure, whenever works."</t>
  </si>
  <si>
    <t>"This has been a long one — worth a proper stand-up break before you close out?"</t>
  </si>
  <si>
    <t>"Almost done for the day — quick stretch before you log off?"</t>
  </si>
  <si>
    <t>Archana — Work 9:00 AM–7:00 PM</t>
  </si>
  <si>
    <t>9:00 AM–12:00 PM</t>
  </si>
  <si>
    <t>~10:00 AM</t>
  </si>
  <si>
    <t>"Know you're heads-down — just a quick one, it's been an hour. Stretch whenever's natural 🙂"</t>
  </si>
  <si>
    <t>"Wrapping up this stretch soon — good time for a proper break before you move on?"</t>
  </si>
  <si>
    <t>12:00 PM–7:00 PM</t>
  </si>
  <si>
    <t>~1:30 PM</t>
  </si>
  <si>
    <t>"Quick stretch or water break?"</t>
  </si>
  <si>
    <t>~3:30 PM</t>
  </si>
  <si>
    <t>"Hey — been a couple hours, quick one to step away?"</t>
  </si>
  <si>
    <t>~5:30 PM</t>
  </si>
  <si>
    <t>"Afternoon's been long — good time for a proper walk or stretch?"</t>
  </si>
  <si>
    <t>~12:10 PM</t>
  </si>
  <si>
    <t>Karishma</t>
  </si>
  <si>
    <t>4:30-7:30 Pm</t>
  </si>
  <si>
    <t>Karishma — Work 11:00 AM–9:30 PM</t>
  </si>
  <si>
    <t>11:00 AM–4:30 PM</t>
  </si>
  <si>
    <t>~12:30 PM</t>
  </si>
  <si>
    <t>"Hey — quick stretch or water before you dive into the afternoon?"</t>
  </si>
  <si>
    <t>~2:15 PM</t>
  </si>
  <si>
    <t>"Been a couple hours — good time to step away for a sec?"</t>
  </si>
  <si>
    <t>"One more before you head into focus mode — quick walk or stretch?"</t>
  </si>
  <si>
    <t>4:30 PM–7:30 PM</t>
  </si>
  <si>
    <t>~7:15 PM</t>
  </si>
  <si>
    <t>"Wrapping up this stretch soon — good time for a proper break before you close it out?"</t>
  </si>
  <si>
    <t>7:30 PM–9:30 PM</t>
  </si>
  <si>
    <t>~9:00 PM</t>
  </si>
  <si>
    <t>Vandita — Work 11:00 AM–8:00 PM</t>
  </si>
  <si>
    <t>~12:15 PM</t>
  </si>
  <si>
    <t>"Hey — quick stretch or water before your focus block?"</t>
  </si>
  <si>
    <t>"Wrapping up soon — good time for a proper break once you're done here?"</t>
  </si>
  <si>
    <t>2:00 PM–8:00 PM</t>
  </si>
  <si>
    <t>~7:30 PM</t>
  </si>
  <si>
    <t>Sushant — Work 1:00 PM–10:30 PM</t>
  </si>
  <si>
    <t>1:00 PM–2:30 PM</t>
  </si>
  <si>
    <t>2:30 PM–5:00 PM</t>
  </si>
  <si>
    <t>~4:45 PM</t>
  </si>
  <si>
    <t>5:00 PM–6:00 PM</t>
  </si>
  <si>
    <t>~5:45 PM</t>
  </si>
  <si>
    <t>"Quick one before your next block — water or a short walk?"</t>
  </si>
  <si>
    <t>6:00 PM–8:30 PM</t>
  </si>
  <si>
    <t>~8:15 PM</t>
  </si>
  <si>
    <t>"This one's been long — good time for a proper stand-up before you close out?"</t>
  </si>
  <si>
    <t>8:30 PM–10:30 PM</t>
  </si>
  <si>
    <t>~10:00 PM</t>
  </si>
  <si>
    <t>2:30-5:00 pm , 6-8:30 pm</t>
  </si>
  <si>
    <t>1-2 pm , 8 pm</t>
  </si>
  <si>
    <t>N</t>
  </si>
  <si>
    <t>Said "No" — declined the break</t>
  </si>
  <si>
    <t>Logging off in 5 min</t>
  </si>
  <si>
    <t>Replied "Water"</t>
  </si>
  <si>
    <t>No response at the time — addressed later (7:24 PM catch-up), said "nothing forced me to miss," but prefers to self-decide breaks rather than wait for a prompt</t>
  </si>
  <si>
    <t>No explicit confirmation of action; she gave general feedback instead</t>
  </si>
  <si>
    <t xml:space="preserve">"I have back to back calls till 1pm" , did follow up at 1:05 pm </t>
  </si>
  <si>
    <t>Confirmed later (2:48 PM) — "No I was continuously sitting on a call"</t>
  </si>
  <si>
    <t>Replied 2:22 PM — "I just took a break for lunch" (self-initiated, coincided with nudge)</t>
  </si>
  <si>
    <t>Replied "Done" at 4:15 PM</t>
  </si>
  <si>
    <t>Replied "Done" at 6:01 PM</t>
  </si>
  <si>
    <t>Sent, no reply yet — logout nudge</t>
  </si>
  <si>
    <t>Resent at 2:31 PM ("Done?"); he reacted 👍 at 2:32 PM</t>
  </si>
  <si>
    <t>Replied "Having snaks" at 5:19 PM</t>
  </si>
  <si>
    <t>Initially replied "No" at 9:02 PM, then "Now going for this" + "And a small break" at 9:03 PM — acted late, after prompting</t>
  </si>
  <si>
    <t>Bundled into the 8:56 PM check-in; likely covered by his 9:03 PM "Now going for this" reply, but not explicitly confirmed separately from Nudge 4</t>
  </si>
  <si>
    <t>Came down for the cab by walking .</t>
  </si>
  <si>
    <t>Preferred a small walk &amp; water break</t>
  </si>
  <si>
    <t>Couldnt do . Was in deep work</t>
  </si>
  <si>
    <t xml:space="preserve">Break in form of rest but not movement </t>
  </si>
  <si>
    <t>Replied No</t>
  </si>
  <si>
    <t>No was into continuous meetings</t>
  </si>
  <si>
    <t>Took a break for lunch</t>
  </si>
  <si>
    <t>Replied "Done"</t>
  </si>
  <si>
    <t>Took at 4 pm</t>
  </si>
  <si>
    <t>Replied Not possible now</t>
  </si>
  <si>
    <t>step away and went for Tea break</t>
  </si>
  <si>
    <t>Be honest — by today, were you still reading/acting on my nudges, or had you started tuning them out?</t>
  </si>
  <si>
    <t>Did this change anything about how often you actually got up or took breaks, compared to a normal week?</t>
  </si>
  <si>
    <t>Did it ever feel naggy or like I was checking up on you, or did it feel more like a helpful heads-up?</t>
  </si>
  <si>
    <t>If this were an automatic app instead of me texting you, would you actually want it? Why or why not?</t>
  </si>
  <si>
    <t>Out of 5, how useful was this overall?</t>
  </si>
  <si>
    <t>already done</t>
  </si>
  <si>
    <t>Asked follow up if all ok and why she is missing ?</t>
  </si>
  <si>
    <t xml:space="preserve">Didn't send any nudge further </t>
  </si>
  <si>
    <t>done</t>
  </si>
  <si>
    <t>Replied I had a break now</t>
  </si>
  <si>
    <t>Comments</t>
  </si>
  <si>
    <t>Busy with release Work</t>
  </si>
  <si>
    <t xml:space="preserve">Replied had a very busy day so couldn't follow the nudges </t>
  </si>
  <si>
    <t>No Reply</t>
  </si>
  <si>
    <t>Replied Sorry I m extremely busy with lots of things around and festival</t>
  </si>
  <si>
    <t>Yes I did check notifications</t>
  </si>
  <si>
    <t>Yes. This was helpful</t>
  </si>
  <si>
    <t>No (For Naggy)</t>
  </si>
  <si>
    <t>Yes. The only thing is the phone should be around. I sometimes keep my phone away unconsciously</t>
  </si>
  <si>
    <t>Still reading nudges</t>
  </si>
  <si>
    <t>A little change. Mostly acting on notification of drinking water and taking walk.</t>
  </si>
  <si>
    <t>Mostly it is fine. It doesnot disturb as of now.</t>
  </si>
  <si>
    <t>May be yes but not in weekends.</t>
  </si>
  <si>
    <t>I was still reading it but not with the same interest. I did some time but not every time as I was busy .</t>
  </si>
  <si>
    <t>Not much changes but these were good reminders to look at your self care being at work (it's just 4 days)</t>
  </si>
  <si>
    <t>Not naggy but sometimes feels annoying when you are super busy</t>
  </si>
  <si>
    <t>It would be better if it is in the app</t>
  </si>
  <si>
    <t>Overall these were the good reminders and did help during the times I was not very occupied.</t>
  </si>
  <si>
    <t>I started to tuning them like why no much nudges today</t>
  </si>
  <si>
    <t>Yes, i usually did not take break for every 1 or 2 hours in deep focus time</t>
  </si>
  <si>
    <t>Feel too many nudges in deep focus time would be naggy as our concentration will be distracted 
Also just a suggestion usually when our eyes feel strain we normally look out somewhere outside or just getup or change the sitting position</t>
  </si>
  <si>
    <t>May be yes if we are really worried about health or any major health issues we keep alarm on frequent intervals or to remind something like tablets or meetings in that perspective automatic app should be helpful</t>
  </si>
  <si>
    <t>Yes, I was still reading and acting on your nudges. They were a good reminder and helped me stay mindful about taking breaks.</t>
  </si>
  <si>
    <t>Yes, definitely. I found myself getting up and taking short breaks more often than I normally would, so it did make a difference to my routine.</t>
  </si>
  <si>
    <t>Not at all. It felt more like a helpful heads-up rather than being naggy or like someone was checking up on me. The timing and tone made it easy to follow.</t>
  </si>
  <si>
    <t xml:space="preserve">Yes, I would definitely consider using it as an automatic app. Having timely reminders throughout the day would be useful, especially when I’m focused on work and lose track of time. </t>
  </si>
  <si>
    <t>The key would be keeping the reminders simple and not too frequent.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</si>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</sst>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Arial"/>
      <family val="2"/>
    </font>
    <font>
      <b/>
      <sz val="11"/>
      <name val="Arial"/>
      <family val="2"/>
    </font>
    <font>
      <i/>
      <sz val="10"/>
      <color rgb="FF808080"/>
      <name val="Arial"/>
      <family val="2"/>
    </font>
    <font>
      <i/>
      <sz val="9"/>
      <color rgb="FF595959"/>
      <name val="Arial"/>
      <family val="2"/>
    </font>
    <font>
      <sz val="10"/>
      <name val="Arial"/>
      <family val="2"/>
    </font>
    <font>
      <i/>
      <sz val="10"/>
      <name val="Arial"/>
      <family val="2"/>
    </font>
    <font>
      <b/>
      <sz val="11"/>
      <color theme="1"/>
      <name val="Calibri"/>
      <family val="2"/>
      <charset val="1"/>
    </font>
    <font>
      <i/>
      <sz val="12"/>
      <name val="Arial"/>
      <family val="2"/>
    </font>
  </fonts>
  <fills count="4">
    <fill>
      <patternFill patternType="none"/>
    </fill>
    <fill>
      <patternFill patternType="gray125"/>
    </fill>
    <fill>
      <patternFill patternType="solid">
        <fgColor rgb="FF2F5496"/>
        <bgColor rgb="FF595959"/>
      </patternFill>
    </fill>
    <fill>
      <patternFill patternType="solid">
        <fgColor rgb="FFFFFF00"/>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right style="thin">
        <color rgb="FFD9D9D9"/>
      </right>
      <top/>
      <bottom style="thin">
        <color rgb="FFD9D9D9"/>
      </bottom>
      <diagonal/>
    </border>
    <border>
      <left/>
      <right style="thin">
        <color rgb="FFD9D9D9"/>
      </right>
      <top style="thin">
        <color rgb="FFD9D9D9"/>
      </top>
      <bottom style="thin">
        <color rgb="FFD9D9D9"/>
      </bottom>
      <diagonal/>
    </border>
    <border>
      <left style="thin">
        <color indexed="64"/>
      </left>
      <right style="thin">
        <color indexed="64"/>
      </right>
      <top style="thin">
        <color indexed="64"/>
      </top>
      <bottom/>
      <diagonal/>
    </border>
    <border>
      <left style="thin">
        <color rgb="FFD9D9D9"/>
      </left>
      <right style="thin">
        <color rgb="FFD9D9D9"/>
      </right>
      <top style="thin">
        <color rgb="FFD9D9D9"/>
      </top>
      <bottom/>
      <diagonal/>
    </border>
  </borders>
  <cellStyleXfs count="1">
    <xf numFmtId="0" fontId="0" fillId="0" borderId="0"/>
  </cellStyleXfs>
  <cellXfs count="39">
    <xf numFmtId="0" fontId="0" fillId="0" borderId="0" xfId="0"/>
    <xf numFmtId="0" fontId="4" fillId="0" borderId="0" xfId="0" applyFont="1" applyAlignment="1">
      <alignment vertical="top" wrapText="1"/>
    </xf>
    <xf numFmtId="0" fontId="2" fillId="0" borderId="0" xfId="0" applyFont="1"/>
    <xf numFmtId="0" fontId="5" fillId="0" borderId="1" xfId="0" applyFont="1" applyBorder="1"/>
    <xf numFmtId="9" fontId="5" fillId="0" borderId="1" xfId="0" applyNumberFormat="1" applyFont="1" applyBorder="1"/>
    <xf numFmtId="0" fontId="4" fillId="0" borderId="2" xfId="0" applyFont="1" applyBorder="1" applyAlignment="1">
      <alignment vertical="top" wrapText="1"/>
    </xf>
    <xf numFmtId="0" fontId="0" fillId="0" borderId="2" xfId="0" applyBorder="1"/>
    <xf numFmtId="0" fontId="0" fillId="0" borderId="3" xfId="0" applyBorder="1"/>
    <xf numFmtId="0" fontId="7" fillId="0" borderId="0" xfId="0" applyFont="1"/>
    <xf numFmtId="0" fontId="5" fillId="0" borderId="4" xfId="0" applyFont="1" applyBorder="1"/>
    <xf numFmtId="0" fontId="1" fillId="2" borderId="2" xfId="0" applyFont="1" applyFill="1" applyBorder="1" applyAlignment="1">
      <alignment horizontal="center" vertical="center" wrapText="1"/>
    </xf>
    <xf numFmtId="0" fontId="3" fillId="0" borderId="2" xfId="0" applyFont="1" applyBorder="1" applyAlignment="1">
      <alignment horizontal="left" vertical="center"/>
    </xf>
    <xf numFmtId="0" fontId="5" fillId="0" borderId="2" xfId="0" applyFont="1" applyBorder="1"/>
    <xf numFmtId="18" fontId="5" fillId="0" borderId="2" xfId="0" applyNumberFormat="1" applyFont="1" applyBorder="1"/>
    <xf numFmtId="0" fontId="6" fillId="0" borderId="2" xfId="0" applyFont="1" applyBorder="1"/>
    <xf numFmtId="18" fontId="0" fillId="0" borderId="2" xfId="0" applyNumberFormat="1" applyBorder="1"/>
    <xf numFmtId="0" fontId="5" fillId="0" borderId="2" xfId="0" applyFont="1" applyBorder="1" applyAlignment="1">
      <alignment wrapText="1"/>
    </xf>
    <xf numFmtId="0" fontId="0" fillId="3" borderId="0" xfId="0" applyFill="1"/>
    <xf numFmtId="15" fontId="3" fillId="0" borderId="2" xfId="0" applyNumberFormat="1" applyFont="1" applyBorder="1" applyAlignment="1">
      <alignment horizontal="left" vertical="center"/>
    </xf>
    <xf numFmtId="0" fontId="5" fillId="0" borderId="6" xfId="0" applyFont="1" applyBorder="1"/>
    <xf numFmtId="0" fontId="5" fillId="0" borderId="7" xfId="0" applyFont="1" applyBorder="1"/>
    <xf numFmtId="15" fontId="3" fillId="0" borderId="8" xfId="0" applyNumberFormat="1" applyFont="1" applyBorder="1" applyAlignment="1">
      <alignment horizontal="left" vertical="center"/>
    </xf>
    <xf numFmtId="0" fontId="6" fillId="0" borderId="8" xfId="0" applyFont="1" applyBorder="1"/>
    <xf numFmtId="0" fontId="5" fillId="0" borderId="8" xfId="0" applyFont="1" applyBorder="1"/>
    <xf numFmtId="18" fontId="5" fillId="0" borderId="8" xfId="0" applyNumberFormat="1" applyFont="1" applyBorder="1"/>
    <xf numFmtId="15" fontId="3" fillId="0" borderId="0" xfId="0" applyNumberFormat="1" applyFont="1" applyAlignment="1">
      <alignment horizontal="left" vertical="center"/>
    </xf>
    <xf numFmtId="0" fontId="6" fillId="0" borderId="0" xfId="0" applyFont="1"/>
    <xf numFmtId="0" fontId="5" fillId="0" borderId="0" xfId="0" applyFont="1"/>
    <xf numFmtId="18" fontId="5" fillId="0" borderId="0" xfId="0" applyNumberFormat="1" applyFont="1"/>
    <xf numFmtId="18" fontId="0" fillId="0" borderId="0" xfId="0" applyNumberFormat="1"/>
    <xf numFmtId="0" fontId="1" fillId="2" borderId="9" xfId="0" applyFont="1" applyFill="1" applyBorder="1" applyAlignment="1">
      <alignment horizontal="center" vertical="center" wrapText="1"/>
    </xf>
    <xf numFmtId="9" fontId="5" fillId="0" borderId="4" xfId="0" applyNumberFormat="1" applyFont="1" applyBorder="1"/>
    <xf numFmtId="15" fontId="5" fillId="0" borderId="2" xfId="0" applyNumberFormat="1" applyFont="1" applyBorder="1"/>
    <xf numFmtId="9" fontId="5" fillId="0" borderId="2" xfId="0" applyNumberFormat="1" applyFont="1" applyBorder="1"/>
    <xf numFmtId="0" fontId="0" fillId="0" borderId="2" xfId="0" applyBorder="1" applyAlignment="1">
      <alignment wrapText="1"/>
    </xf>
    <xf numFmtId="0" fontId="8" fillId="0" borderId="2" xfId="0" applyFont="1" applyBorder="1"/>
    <xf numFmtId="0" fontId="1" fillId="2" borderId="5" xfId="0" applyFont="1" applyFill="1" applyBorder="1" applyAlignment="1">
      <alignment horizontal="center" vertical="center" wrapText="1"/>
    </xf>
    <xf numFmtId="0" fontId="4" fillId="0" borderId="0" xfId="0" applyFont="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709A-9A99-904C-91DE-3A2497A13F46}">
  <dimension ref="C6:H71"/>
  <sheetViews>
    <sheetView topLeftCell="A22" zoomScale="96" zoomScaleNormal="96" workbookViewId="0">
      <selection activeCell="C43" sqref="C43"/>
    </sheetView>
  </sheetViews>
  <sheetFormatPr baseColWidth="10" defaultRowHeight="15" x14ac:dyDescent="0.2"/>
  <cols>
    <col min="3" max="3" width="46.33203125" customWidth="1"/>
    <col min="4" max="4" width="20.33203125" customWidth="1"/>
    <col min="5" max="5" width="19.6640625" customWidth="1"/>
    <col min="6" max="6" width="85.83203125" customWidth="1"/>
  </cols>
  <sheetData>
    <row r="6" spans="3:8" x14ac:dyDescent="0.2">
      <c r="C6" t="s">
        <v>52</v>
      </c>
    </row>
    <row r="8" spans="3:8" x14ac:dyDescent="0.2">
      <c r="C8" s="8" t="s">
        <v>22</v>
      </c>
    </row>
    <row r="10" spans="3:8" x14ac:dyDescent="0.2">
      <c r="C10" s="8" t="s">
        <v>23</v>
      </c>
      <c r="D10" s="8" t="s">
        <v>24</v>
      </c>
      <c r="E10" s="8" t="s">
        <v>41</v>
      </c>
      <c r="F10" s="8" t="s">
        <v>42</v>
      </c>
      <c r="G10" s="8"/>
      <c r="H10" s="8"/>
    </row>
    <row r="11" spans="3:8" x14ac:dyDescent="0.2">
      <c r="C11" t="s">
        <v>25</v>
      </c>
      <c r="D11" t="s">
        <v>26</v>
      </c>
      <c r="E11" t="s">
        <v>27</v>
      </c>
      <c r="F11" t="s">
        <v>43</v>
      </c>
    </row>
    <row r="12" spans="3:8" x14ac:dyDescent="0.2">
      <c r="C12" t="s">
        <v>28</v>
      </c>
      <c r="D12" t="s">
        <v>29</v>
      </c>
      <c r="E12" t="s">
        <v>30</v>
      </c>
      <c r="F12" t="s">
        <v>44</v>
      </c>
    </row>
    <row r="13" spans="3:8" x14ac:dyDescent="0.2">
      <c r="C13" t="s">
        <v>31</v>
      </c>
      <c r="D13" t="s">
        <v>26</v>
      </c>
      <c r="E13" t="s">
        <v>45</v>
      </c>
      <c r="F13" t="s">
        <v>46</v>
      </c>
    </row>
    <row r="14" spans="3:8" x14ac:dyDescent="0.2">
      <c r="C14" t="s">
        <v>31</v>
      </c>
      <c r="D14" t="s">
        <v>26</v>
      </c>
      <c r="E14" t="s">
        <v>47</v>
      </c>
      <c r="F14" t="s">
        <v>48</v>
      </c>
    </row>
    <row r="15" spans="3:8" x14ac:dyDescent="0.2">
      <c r="C15" t="s">
        <v>32</v>
      </c>
      <c r="D15" t="s">
        <v>29</v>
      </c>
      <c r="E15" t="s">
        <v>49</v>
      </c>
      <c r="F15" t="s">
        <v>50</v>
      </c>
    </row>
    <row r="16" spans="3:8" x14ac:dyDescent="0.2">
      <c r="C16" t="s">
        <v>32</v>
      </c>
      <c r="D16" t="s">
        <v>29</v>
      </c>
      <c r="E16" t="s">
        <v>40</v>
      </c>
      <c r="F16" t="s">
        <v>51</v>
      </c>
    </row>
    <row r="18" spans="3:8" x14ac:dyDescent="0.2">
      <c r="C18" s="8"/>
    </row>
    <row r="19" spans="3:8" x14ac:dyDescent="0.2">
      <c r="C19" s="8" t="s">
        <v>33</v>
      </c>
    </row>
    <row r="20" spans="3:8" x14ac:dyDescent="0.2">
      <c r="G20" s="8"/>
      <c r="H20" s="8"/>
    </row>
    <row r="21" spans="3:8" x14ac:dyDescent="0.2">
      <c r="C21" s="8" t="s">
        <v>23</v>
      </c>
      <c r="D21" s="8" t="s">
        <v>24</v>
      </c>
      <c r="E21" s="8" t="s">
        <v>41</v>
      </c>
      <c r="F21" s="8" t="s">
        <v>42</v>
      </c>
    </row>
    <row r="22" spans="3:8" x14ac:dyDescent="0.2">
      <c r="C22" t="s">
        <v>34</v>
      </c>
      <c r="D22" t="s">
        <v>29</v>
      </c>
      <c r="E22" t="s">
        <v>35</v>
      </c>
      <c r="F22" t="s">
        <v>53</v>
      </c>
    </row>
    <row r="23" spans="3:8" x14ac:dyDescent="0.2">
      <c r="C23" t="s">
        <v>36</v>
      </c>
      <c r="D23" t="s">
        <v>26</v>
      </c>
      <c r="E23" t="s">
        <v>27</v>
      </c>
      <c r="F23" t="s">
        <v>54</v>
      </c>
    </row>
    <row r="24" spans="3:8" x14ac:dyDescent="0.2">
      <c r="C24" t="s">
        <v>36</v>
      </c>
      <c r="D24" t="s">
        <v>26</v>
      </c>
      <c r="E24" t="s">
        <v>55</v>
      </c>
      <c r="F24" t="s">
        <v>56</v>
      </c>
    </row>
    <row r="25" spans="3:8" x14ac:dyDescent="0.2">
      <c r="C25" t="s">
        <v>37</v>
      </c>
      <c r="D25" t="s">
        <v>29</v>
      </c>
      <c r="E25" t="s">
        <v>57</v>
      </c>
      <c r="F25" t="s">
        <v>58</v>
      </c>
    </row>
    <row r="26" spans="3:8" x14ac:dyDescent="0.2">
      <c r="C26" t="s">
        <v>37</v>
      </c>
      <c r="D26" t="s">
        <v>29</v>
      </c>
      <c r="E26" t="s">
        <v>45</v>
      </c>
      <c r="F26" t="s">
        <v>59</v>
      </c>
    </row>
    <row r="27" spans="3:8" x14ac:dyDescent="0.2">
      <c r="C27" t="s">
        <v>38</v>
      </c>
      <c r="D27" t="s">
        <v>26</v>
      </c>
      <c r="E27" t="s">
        <v>60</v>
      </c>
      <c r="F27" t="s">
        <v>61</v>
      </c>
    </row>
    <row r="28" spans="3:8" x14ac:dyDescent="0.2">
      <c r="C28" t="s">
        <v>38</v>
      </c>
      <c r="D28" t="s">
        <v>26</v>
      </c>
      <c r="E28" t="s">
        <v>49</v>
      </c>
      <c r="F28" t="s">
        <v>62</v>
      </c>
    </row>
    <row r="29" spans="3:8" x14ac:dyDescent="0.2">
      <c r="C29" t="s">
        <v>39</v>
      </c>
      <c r="D29" t="s">
        <v>29</v>
      </c>
      <c r="E29" t="s">
        <v>40</v>
      </c>
      <c r="F29" t="s">
        <v>63</v>
      </c>
    </row>
    <row r="33" spans="3:6" x14ac:dyDescent="0.2">
      <c r="C33" s="8" t="s">
        <v>64</v>
      </c>
    </row>
    <row r="35" spans="3:6" x14ac:dyDescent="0.2">
      <c r="C35" s="8" t="s">
        <v>23</v>
      </c>
      <c r="D35" s="8" t="s">
        <v>24</v>
      </c>
      <c r="E35" s="8" t="s">
        <v>41</v>
      </c>
      <c r="F35" s="8" t="s">
        <v>42</v>
      </c>
    </row>
    <row r="36" spans="3:6" x14ac:dyDescent="0.2">
      <c r="C36" t="s">
        <v>65</v>
      </c>
      <c r="D36" t="s">
        <v>26</v>
      </c>
      <c r="E36" t="s">
        <v>66</v>
      </c>
      <c r="F36" t="s">
        <v>67</v>
      </c>
    </row>
    <row r="37" spans="3:6" x14ac:dyDescent="0.2">
      <c r="E37" t="s">
        <v>76</v>
      </c>
      <c r="F37" t="s">
        <v>68</v>
      </c>
    </row>
    <row r="38" spans="3:6" x14ac:dyDescent="0.2">
      <c r="C38" t="s">
        <v>69</v>
      </c>
      <c r="D38" t="s">
        <v>29</v>
      </c>
      <c r="E38" t="s">
        <v>70</v>
      </c>
      <c r="F38" t="s">
        <v>71</v>
      </c>
    </row>
    <row r="39" spans="3:6" x14ac:dyDescent="0.2">
      <c r="E39" t="s">
        <v>72</v>
      </c>
      <c r="F39" t="s">
        <v>73</v>
      </c>
    </row>
    <row r="40" spans="3:6" x14ac:dyDescent="0.2">
      <c r="E40" t="s">
        <v>74</v>
      </c>
      <c r="F40" t="s">
        <v>75</v>
      </c>
    </row>
    <row r="41" spans="3:6" x14ac:dyDescent="0.2">
      <c r="E41" t="s">
        <v>49</v>
      </c>
      <c r="F41" t="s">
        <v>63</v>
      </c>
    </row>
    <row r="43" spans="3:6" x14ac:dyDescent="0.2">
      <c r="C43" s="8" t="s">
        <v>79</v>
      </c>
    </row>
    <row r="45" spans="3:6" x14ac:dyDescent="0.2">
      <c r="C45" s="8" t="s">
        <v>23</v>
      </c>
      <c r="D45" s="8" t="s">
        <v>24</v>
      </c>
      <c r="E45" s="8" t="s">
        <v>41</v>
      </c>
      <c r="F45" s="8" t="s">
        <v>42</v>
      </c>
    </row>
    <row r="46" spans="3:6" x14ac:dyDescent="0.2">
      <c r="C46" t="s">
        <v>80</v>
      </c>
      <c r="D46" t="s">
        <v>29</v>
      </c>
      <c r="E46" t="s">
        <v>81</v>
      </c>
      <c r="F46" t="s">
        <v>82</v>
      </c>
    </row>
    <row r="47" spans="3:6" x14ac:dyDescent="0.2">
      <c r="E47" t="s">
        <v>83</v>
      </c>
      <c r="F47" t="s">
        <v>84</v>
      </c>
    </row>
    <row r="48" spans="3:6" x14ac:dyDescent="0.2">
      <c r="E48" t="s">
        <v>45</v>
      </c>
      <c r="F48" t="s">
        <v>85</v>
      </c>
    </row>
    <row r="49" spans="3:6" x14ac:dyDescent="0.2">
      <c r="C49" t="s">
        <v>86</v>
      </c>
      <c r="D49" t="s">
        <v>26</v>
      </c>
      <c r="E49" t="s">
        <v>74</v>
      </c>
      <c r="F49" t="s">
        <v>67</v>
      </c>
    </row>
    <row r="50" spans="3:6" x14ac:dyDescent="0.2">
      <c r="E50" t="s">
        <v>87</v>
      </c>
      <c r="F50" t="s">
        <v>88</v>
      </c>
    </row>
    <row r="51" spans="3:6" x14ac:dyDescent="0.2">
      <c r="C51" t="s">
        <v>89</v>
      </c>
      <c r="D51" t="s">
        <v>29</v>
      </c>
      <c r="E51" t="s">
        <v>90</v>
      </c>
      <c r="F51" t="s">
        <v>63</v>
      </c>
    </row>
    <row r="54" spans="3:6" x14ac:dyDescent="0.2">
      <c r="C54" s="8" t="s">
        <v>91</v>
      </c>
    </row>
    <row r="56" spans="3:6" x14ac:dyDescent="0.2">
      <c r="C56" s="8" t="s">
        <v>23</v>
      </c>
      <c r="D56" s="8" t="s">
        <v>24</v>
      </c>
      <c r="E56" s="8" t="s">
        <v>41</v>
      </c>
      <c r="F56" s="8" t="s">
        <v>42</v>
      </c>
    </row>
    <row r="57" spans="3:6" x14ac:dyDescent="0.2">
      <c r="C57" t="s">
        <v>25</v>
      </c>
      <c r="D57" t="s">
        <v>29</v>
      </c>
      <c r="E57" t="s">
        <v>92</v>
      </c>
      <c r="F57" t="s">
        <v>93</v>
      </c>
    </row>
    <row r="58" spans="3:6" x14ac:dyDescent="0.2">
      <c r="C58" t="s">
        <v>28</v>
      </c>
      <c r="D58" t="s">
        <v>26</v>
      </c>
      <c r="E58" t="s">
        <v>30</v>
      </c>
      <c r="F58" t="s">
        <v>94</v>
      </c>
    </row>
    <row r="59" spans="3:6" x14ac:dyDescent="0.2">
      <c r="C59" t="s">
        <v>95</v>
      </c>
      <c r="D59" t="s">
        <v>29</v>
      </c>
      <c r="E59" t="s">
        <v>72</v>
      </c>
      <c r="F59" t="s">
        <v>58</v>
      </c>
    </row>
    <row r="60" spans="3:6" x14ac:dyDescent="0.2">
      <c r="E60" t="s">
        <v>74</v>
      </c>
      <c r="F60" t="s">
        <v>84</v>
      </c>
    </row>
    <row r="61" spans="3:6" x14ac:dyDescent="0.2">
      <c r="E61" t="s">
        <v>96</v>
      </c>
      <c r="F61" t="s">
        <v>63</v>
      </c>
    </row>
    <row r="62" spans="3:6" x14ac:dyDescent="0.2">
      <c r="C62" s="8" t="s">
        <v>97</v>
      </c>
    </row>
    <row r="64" spans="3:6" x14ac:dyDescent="0.2">
      <c r="C64" s="8" t="s">
        <v>23</v>
      </c>
      <c r="D64" s="8" t="s">
        <v>24</v>
      </c>
      <c r="E64" s="8" t="s">
        <v>41</v>
      </c>
      <c r="F64" s="8" t="s">
        <v>42</v>
      </c>
    </row>
    <row r="65" spans="3:6" x14ac:dyDescent="0.2">
      <c r="C65" t="s">
        <v>98</v>
      </c>
      <c r="D65" t="s">
        <v>29</v>
      </c>
      <c r="E65" t="s">
        <v>55</v>
      </c>
      <c r="F65" t="s">
        <v>93</v>
      </c>
    </row>
    <row r="66" spans="3:6" x14ac:dyDescent="0.2">
      <c r="C66" t="s">
        <v>99</v>
      </c>
      <c r="D66" t="s">
        <v>26</v>
      </c>
      <c r="E66" t="s">
        <v>72</v>
      </c>
      <c r="F66" t="s">
        <v>67</v>
      </c>
    </row>
    <row r="67" spans="3:6" x14ac:dyDescent="0.2">
      <c r="E67" t="s">
        <v>100</v>
      </c>
      <c r="F67" t="s">
        <v>68</v>
      </c>
    </row>
    <row r="68" spans="3:6" x14ac:dyDescent="0.2">
      <c r="C68" t="s">
        <v>101</v>
      </c>
      <c r="D68" t="s">
        <v>29</v>
      </c>
      <c r="E68" t="s">
        <v>102</v>
      </c>
      <c r="F68" t="s">
        <v>103</v>
      </c>
    </row>
    <row r="69" spans="3:6" x14ac:dyDescent="0.2">
      <c r="C69" t="s">
        <v>104</v>
      </c>
      <c r="D69" t="s">
        <v>26</v>
      </c>
      <c r="E69" t="s">
        <v>49</v>
      </c>
      <c r="F69" t="s">
        <v>61</v>
      </c>
    </row>
    <row r="70" spans="3:6" x14ac:dyDescent="0.2">
      <c r="E70" t="s">
        <v>105</v>
      </c>
      <c r="F70" t="s">
        <v>106</v>
      </c>
    </row>
    <row r="71" spans="3:6" x14ac:dyDescent="0.2">
      <c r="C71" t="s">
        <v>107</v>
      </c>
      <c r="D71" t="s">
        <v>29</v>
      </c>
      <c r="E71" t="s">
        <v>108</v>
      </c>
      <c r="F71"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T192"/>
  <sheetViews>
    <sheetView zoomScaleNormal="100" workbookViewId="0">
      <pane ySplit="1" topLeftCell="A93" activePane="bottomLeft" state="frozen"/>
      <selection pane="bottomLeft" activeCell="I58" sqref="I58"/>
    </sheetView>
  </sheetViews>
  <sheetFormatPr baseColWidth="10" defaultColWidth="8.6640625" defaultRowHeight="15" x14ac:dyDescent="0.2"/>
  <cols>
    <col min="1" max="1" width="23" customWidth="1"/>
    <col min="2" max="2" width="38.33203125" customWidth="1"/>
    <col min="3" max="3" width="25.5" customWidth="1"/>
    <col min="4" max="4" width="22.33203125" customWidth="1"/>
    <col min="5" max="5" width="15" customWidth="1"/>
    <col min="6" max="6" width="18.6640625" customWidth="1"/>
    <col min="7" max="7" width="19.5" customWidth="1"/>
    <col min="8" max="8" width="19.1640625" customWidth="1"/>
    <col min="9" max="9" width="57.1640625" customWidth="1"/>
    <col min="10" max="10" width="38.83203125" customWidth="1"/>
    <col min="11" max="11" width="55" customWidth="1"/>
  </cols>
  <sheetData>
    <row r="1" spans="1:14" ht="31.5" customHeight="1" x14ac:dyDescent="0.2">
      <c r="A1" s="10" t="s">
        <v>0</v>
      </c>
      <c r="B1" s="10" t="s">
        <v>1</v>
      </c>
      <c r="C1" s="10" t="s">
        <v>2</v>
      </c>
      <c r="D1" s="10" t="s">
        <v>3</v>
      </c>
      <c r="E1" s="10" t="s">
        <v>4</v>
      </c>
      <c r="F1" s="10" t="s">
        <v>5</v>
      </c>
      <c r="G1" s="10" t="s">
        <v>6</v>
      </c>
      <c r="H1" s="10" t="s">
        <v>7</v>
      </c>
      <c r="I1" s="10" t="s">
        <v>8</v>
      </c>
      <c r="K1" s="38"/>
      <c r="L1" s="38"/>
      <c r="M1" s="38"/>
    </row>
    <row r="2" spans="1:14" x14ac:dyDescent="0.2">
      <c r="A2" s="18">
        <v>46266</v>
      </c>
      <c r="B2" s="14" t="s">
        <v>14</v>
      </c>
      <c r="C2" s="12" t="s">
        <v>21</v>
      </c>
      <c r="D2" s="13">
        <v>0.375</v>
      </c>
      <c r="E2" s="13">
        <v>0.79166666666666663</v>
      </c>
      <c r="F2" s="12">
        <v>1</v>
      </c>
      <c r="G2" s="15">
        <v>0.43125000000000002</v>
      </c>
      <c r="H2" s="12" t="s">
        <v>9</v>
      </c>
      <c r="I2" s="11"/>
      <c r="K2" s="1"/>
    </row>
    <row r="3" spans="1:14" ht="15" customHeight="1" x14ac:dyDescent="0.2">
      <c r="A3" s="18">
        <v>46266</v>
      </c>
      <c r="B3" s="14" t="s">
        <v>15</v>
      </c>
      <c r="C3" s="12" t="s">
        <v>109</v>
      </c>
      <c r="D3" s="13">
        <v>0.54166666666666663</v>
      </c>
      <c r="E3" s="13">
        <v>0.9375</v>
      </c>
      <c r="F3" s="12">
        <v>1</v>
      </c>
      <c r="G3" s="13">
        <v>0.59236111111111112</v>
      </c>
      <c r="H3" s="12" t="s">
        <v>9</v>
      </c>
      <c r="I3" s="12" t="s">
        <v>123</v>
      </c>
      <c r="K3" s="1"/>
      <c r="L3" s="1"/>
      <c r="M3" s="1"/>
    </row>
    <row r="4" spans="1:14" ht="22.25" customHeight="1" x14ac:dyDescent="0.2">
      <c r="A4" s="18">
        <v>46266</v>
      </c>
      <c r="B4" s="14" t="s">
        <v>16</v>
      </c>
      <c r="C4" s="12" t="s">
        <v>110</v>
      </c>
      <c r="D4" s="13">
        <v>0.45833333333333331</v>
      </c>
      <c r="E4" s="13">
        <v>0.83333333333333337</v>
      </c>
      <c r="F4" s="12">
        <v>1</v>
      </c>
      <c r="G4" s="13">
        <v>0.50972222222222219</v>
      </c>
      <c r="H4" s="12" t="s">
        <v>9</v>
      </c>
      <c r="I4" s="12"/>
      <c r="K4" s="5"/>
      <c r="L4" s="5"/>
      <c r="M4" s="5"/>
    </row>
    <row r="5" spans="1:14" ht="15" customHeight="1" x14ac:dyDescent="0.2">
      <c r="A5" s="18">
        <v>46266</v>
      </c>
      <c r="B5" s="14" t="s">
        <v>17</v>
      </c>
      <c r="C5" s="12" t="s">
        <v>19</v>
      </c>
      <c r="D5" s="15">
        <v>0.45833333333333331</v>
      </c>
      <c r="E5" s="15">
        <v>0.83333333333333337</v>
      </c>
      <c r="F5" s="12">
        <v>1</v>
      </c>
      <c r="G5" s="13">
        <v>0.50416666666666665</v>
      </c>
      <c r="H5" s="12" t="s">
        <v>9</v>
      </c>
      <c r="I5" s="12"/>
      <c r="K5" s="5"/>
      <c r="L5" s="5"/>
      <c r="M5" s="5"/>
    </row>
    <row r="6" spans="1:14" ht="15" customHeight="1" x14ac:dyDescent="0.2">
      <c r="A6" s="18">
        <v>46266</v>
      </c>
      <c r="B6" s="14" t="s">
        <v>18</v>
      </c>
      <c r="C6" s="12" t="s">
        <v>20</v>
      </c>
      <c r="D6" s="13">
        <v>0.375</v>
      </c>
      <c r="E6" s="15">
        <v>0.85416666666666663</v>
      </c>
      <c r="F6" s="12">
        <v>1</v>
      </c>
      <c r="G6" s="15">
        <v>0.43055555555555558</v>
      </c>
      <c r="H6" s="12" t="s">
        <v>9</v>
      </c>
      <c r="I6" s="12"/>
      <c r="K6" s="5"/>
      <c r="L6" s="5"/>
      <c r="M6" s="5"/>
    </row>
    <row r="7" spans="1:14" ht="22.25" customHeight="1" x14ac:dyDescent="0.2">
      <c r="A7" s="18">
        <v>46266</v>
      </c>
      <c r="B7" s="14" t="s">
        <v>77</v>
      </c>
      <c r="C7" s="12" t="s">
        <v>78</v>
      </c>
      <c r="D7" s="13">
        <v>0.45833333333333331</v>
      </c>
      <c r="E7" s="13">
        <v>0.89583333333333337</v>
      </c>
      <c r="F7" s="12">
        <v>1</v>
      </c>
      <c r="G7" s="13">
        <v>0.51111111111111107</v>
      </c>
      <c r="H7" s="12" t="s">
        <v>111</v>
      </c>
      <c r="I7" s="12" t="s">
        <v>117</v>
      </c>
      <c r="K7" s="5"/>
      <c r="L7" s="5"/>
      <c r="M7" s="5"/>
    </row>
    <row r="8" spans="1:14" x14ac:dyDescent="0.2">
      <c r="A8" s="18">
        <v>46266</v>
      </c>
      <c r="B8" s="14" t="s">
        <v>14</v>
      </c>
      <c r="C8" s="12" t="s">
        <v>21</v>
      </c>
      <c r="D8" s="13">
        <v>0.375</v>
      </c>
      <c r="E8" s="13">
        <v>0.79166666666666663</v>
      </c>
      <c r="F8" s="12">
        <v>2</v>
      </c>
      <c r="G8" s="13">
        <v>0.56111111111111112</v>
      </c>
      <c r="H8" s="12" t="s">
        <v>111</v>
      </c>
      <c r="I8" s="12"/>
      <c r="K8" s="6"/>
      <c r="L8" s="6"/>
      <c r="M8" s="6"/>
      <c r="N8" s="7"/>
    </row>
    <row r="9" spans="1:14" x14ac:dyDescent="0.2">
      <c r="A9" s="18">
        <v>46266</v>
      </c>
      <c r="B9" s="14" t="s">
        <v>15</v>
      </c>
      <c r="C9" s="12" t="s">
        <v>109</v>
      </c>
      <c r="D9" s="13">
        <v>0.54166666666666663</v>
      </c>
      <c r="E9" s="13">
        <v>0.9375</v>
      </c>
      <c r="F9" s="12">
        <v>2</v>
      </c>
      <c r="G9" s="13">
        <v>0.65</v>
      </c>
      <c r="H9" s="12" t="s">
        <v>9</v>
      </c>
      <c r="I9" s="12"/>
    </row>
    <row r="10" spans="1:14" x14ac:dyDescent="0.2">
      <c r="A10" s="18">
        <v>46266</v>
      </c>
      <c r="B10" s="14" t="s">
        <v>16</v>
      </c>
      <c r="C10" s="12" t="s">
        <v>110</v>
      </c>
      <c r="D10" s="13">
        <v>0.45833333333333331</v>
      </c>
      <c r="E10" s="13">
        <v>0.83333333333333337</v>
      </c>
      <c r="F10" s="12">
        <v>2</v>
      </c>
      <c r="G10" s="13">
        <v>0.56805555555555554</v>
      </c>
      <c r="H10" s="12" t="s">
        <v>9</v>
      </c>
      <c r="I10" s="12"/>
    </row>
    <row r="11" spans="1:14" x14ac:dyDescent="0.2">
      <c r="A11" s="18">
        <v>46266</v>
      </c>
      <c r="B11" s="14" t="s">
        <v>17</v>
      </c>
      <c r="C11" s="12" t="s">
        <v>19</v>
      </c>
      <c r="D11" s="15">
        <v>0.45833333333333331</v>
      </c>
      <c r="E11" s="15">
        <v>0.83333333333333337</v>
      </c>
      <c r="F11" s="12">
        <v>2</v>
      </c>
      <c r="G11" s="13">
        <v>0.56944444444444442</v>
      </c>
      <c r="H11" s="12" t="s">
        <v>9</v>
      </c>
      <c r="I11" s="12"/>
    </row>
    <row r="12" spans="1:14" x14ac:dyDescent="0.2">
      <c r="A12" s="18">
        <v>46266</v>
      </c>
      <c r="B12" s="14" t="s">
        <v>18</v>
      </c>
      <c r="C12" s="12" t="s">
        <v>20</v>
      </c>
      <c r="D12" s="13">
        <v>0.375</v>
      </c>
      <c r="E12" s="15">
        <v>0.85416666666666663</v>
      </c>
      <c r="F12" s="12">
        <v>2</v>
      </c>
      <c r="G12" s="13">
        <v>0.52361111111111114</v>
      </c>
      <c r="H12" s="12" t="s">
        <v>9</v>
      </c>
      <c r="I12" s="12"/>
    </row>
    <row r="13" spans="1:14" x14ac:dyDescent="0.2">
      <c r="A13" s="18">
        <v>46266</v>
      </c>
      <c r="B13" s="14" t="s">
        <v>77</v>
      </c>
      <c r="C13" s="12" t="s">
        <v>78</v>
      </c>
      <c r="D13" s="13">
        <v>0.45833333333333331</v>
      </c>
      <c r="E13" s="13">
        <v>0.89583333333333337</v>
      </c>
      <c r="F13" s="12">
        <v>2</v>
      </c>
      <c r="G13" s="13">
        <v>0.54513888888888884</v>
      </c>
      <c r="H13" s="12" t="s">
        <v>111</v>
      </c>
      <c r="I13" s="12" t="s">
        <v>118</v>
      </c>
    </row>
    <row r="14" spans="1:14" x14ac:dyDescent="0.2">
      <c r="A14" s="18">
        <v>46266</v>
      </c>
      <c r="B14" s="14" t="s">
        <v>14</v>
      </c>
      <c r="C14" s="12" t="s">
        <v>21</v>
      </c>
      <c r="D14" s="13">
        <v>0.375</v>
      </c>
      <c r="E14" s="13">
        <v>0.79166666666666663</v>
      </c>
      <c r="F14" s="12">
        <v>3</v>
      </c>
      <c r="G14" s="13">
        <v>0.65416666666666667</v>
      </c>
      <c r="H14" s="12" t="s">
        <v>111</v>
      </c>
      <c r="I14" s="12"/>
    </row>
    <row r="15" spans="1:14" x14ac:dyDescent="0.2">
      <c r="A15" s="18">
        <v>46266</v>
      </c>
      <c r="B15" s="14" t="s">
        <v>15</v>
      </c>
      <c r="C15" s="12" t="s">
        <v>109</v>
      </c>
      <c r="D15" s="13">
        <v>0.54166666666666663</v>
      </c>
      <c r="E15" s="13">
        <v>0.9375</v>
      </c>
      <c r="F15" s="12">
        <v>3</v>
      </c>
      <c r="G15" s="13">
        <v>0.71111111111111114</v>
      </c>
      <c r="H15" s="12" t="s">
        <v>9</v>
      </c>
      <c r="I15" s="12" t="s">
        <v>124</v>
      </c>
    </row>
    <row r="16" spans="1:14" x14ac:dyDescent="0.2">
      <c r="A16" s="18">
        <v>46266</v>
      </c>
      <c r="B16" s="14" t="s">
        <v>16</v>
      </c>
      <c r="C16" s="12" t="s">
        <v>110</v>
      </c>
      <c r="D16" s="13">
        <v>0.45833333333333331</v>
      </c>
      <c r="E16" s="13">
        <v>0.83333333333333337</v>
      </c>
      <c r="F16" s="12">
        <v>3</v>
      </c>
      <c r="G16" s="13">
        <v>0.64930555555555558</v>
      </c>
      <c r="H16" s="12" t="s">
        <v>9</v>
      </c>
      <c r="I16" s="12" t="s">
        <v>114</v>
      </c>
    </row>
    <row r="17" spans="1:9" x14ac:dyDescent="0.2">
      <c r="A17" s="18">
        <v>46266</v>
      </c>
      <c r="B17" s="14" t="s">
        <v>17</v>
      </c>
      <c r="C17" s="12" t="s">
        <v>19</v>
      </c>
      <c r="D17" s="15">
        <v>0.45833333333333331</v>
      </c>
      <c r="E17" s="15">
        <v>0.83333333333333337</v>
      </c>
      <c r="F17" s="12">
        <v>3</v>
      </c>
      <c r="G17" s="13">
        <v>0.65138888888888891</v>
      </c>
      <c r="H17" s="12" t="s">
        <v>9</v>
      </c>
      <c r="I17" s="12"/>
    </row>
    <row r="18" spans="1:9" x14ac:dyDescent="0.2">
      <c r="A18" s="18">
        <v>46266</v>
      </c>
      <c r="B18" s="14" t="s">
        <v>18</v>
      </c>
      <c r="C18" s="12" t="s">
        <v>20</v>
      </c>
      <c r="D18" s="13">
        <v>0.375</v>
      </c>
      <c r="E18" s="15">
        <v>0.85416666666666663</v>
      </c>
      <c r="F18" s="12">
        <v>3</v>
      </c>
      <c r="G18" s="13">
        <v>0.60069444444444442</v>
      </c>
      <c r="H18" s="12" t="s">
        <v>9</v>
      </c>
      <c r="I18" s="12"/>
    </row>
    <row r="19" spans="1:9" ht="22" customHeight="1" x14ac:dyDescent="0.2">
      <c r="A19" s="18">
        <v>46266</v>
      </c>
      <c r="B19" s="14" t="s">
        <v>77</v>
      </c>
      <c r="C19" s="12" t="s">
        <v>78</v>
      </c>
      <c r="D19" s="13">
        <v>0.45833333333333331</v>
      </c>
      <c r="E19" s="13">
        <v>0.89583333333333337</v>
      </c>
      <c r="F19" s="12">
        <v>3</v>
      </c>
      <c r="G19" s="13">
        <v>0.59791666666666665</v>
      </c>
      <c r="H19" s="12" t="s">
        <v>9</v>
      </c>
      <c r="I19" s="16" t="s">
        <v>119</v>
      </c>
    </row>
    <row r="20" spans="1:9" x14ac:dyDescent="0.2">
      <c r="A20" s="18">
        <v>46266</v>
      </c>
      <c r="B20" s="14" t="s">
        <v>14</v>
      </c>
      <c r="C20" s="12" t="s">
        <v>21</v>
      </c>
      <c r="D20" s="13">
        <v>0.375</v>
      </c>
      <c r="E20" s="13">
        <v>0.79166666666666663</v>
      </c>
      <c r="F20" s="12">
        <v>4</v>
      </c>
      <c r="G20" s="13">
        <v>0.73750000000000004</v>
      </c>
      <c r="H20" s="12" t="s">
        <v>111</v>
      </c>
      <c r="I20" s="12"/>
    </row>
    <row r="21" spans="1:9" ht="25" customHeight="1" x14ac:dyDescent="0.2">
      <c r="A21" s="18">
        <v>46266</v>
      </c>
      <c r="B21" s="14" t="s">
        <v>15</v>
      </c>
      <c r="C21" s="12" t="s">
        <v>109</v>
      </c>
      <c r="D21" s="13">
        <v>0.54166666666666663</v>
      </c>
      <c r="E21" s="13">
        <v>0.9375</v>
      </c>
      <c r="F21" s="12">
        <v>4</v>
      </c>
      <c r="G21" s="13">
        <v>0.7583333333333333</v>
      </c>
      <c r="H21" s="12" t="s">
        <v>9</v>
      </c>
      <c r="I21" s="16" t="s">
        <v>125</v>
      </c>
    </row>
    <row r="22" spans="1:9" ht="46" customHeight="1" x14ac:dyDescent="0.2">
      <c r="A22" s="18">
        <v>46266</v>
      </c>
      <c r="B22" s="14" t="s">
        <v>16</v>
      </c>
      <c r="C22" s="12" t="s">
        <v>110</v>
      </c>
      <c r="D22" s="13">
        <v>0.45833333333333331</v>
      </c>
      <c r="E22" s="13">
        <v>0.83333333333333337</v>
      </c>
      <c r="F22" s="12">
        <v>4</v>
      </c>
      <c r="G22" s="13">
        <v>0.7368055555555556</v>
      </c>
      <c r="H22" s="12" t="s">
        <v>111</v>
      </c>
      <c r="I22" s="16" t="s">
        <v>115</v>
      </c>
    </row>
    <row r="23" spans="1:9" x14ac:dyDescent="0.2">
      <c r="A23" s="18">
        <v>46266</v>
      </c>
      <c r="B23" s="14" t="s">
        <v>17</v>
      </c>
      <c r="C23" s="12" t="s">
        <v>19</v>
      </c>
      <c r="D23" s="15">
        <v>0.45833333333333331</v>
      </c>
      <c r="E23" s="15">
        <v>0.83333333333333337</v>
      </c>
      <c r="F23" s="12">
        <v>4</v>
      </c>
      <c r="G23" s="13">
        <v>0.75208333333333333</v>
      </c>
      <c r="H23" s="12" t="s">
        <v>9</v>
      </c>
      <c r="I23" s="12"/>
    </row>
    <row r="24" spans="1:9" x14ac:dyDescent="0.2">
      <c r="A24" s="18">
        <v>46266</v>
      </c>
      <c r="B24" s="14" t="s">
        <v>18</v>
      </c>
      <c r="C24" s="12" t="s">
        <v>20</v>
      </c>
      <c r="D24" s="13">
        <v>0.375</v>
      </c>
      <c r="E24" s="15">
        <v>0.85416666666666663</v>
      </c>
      <c r="F24" s="12">
        <v>4</v>
      </c>
      <c r="G24" s="13">
        <v>0.66736111111111107</v>
      </c>
      <c r="H24" s="12" t="s">
        <v>111</v>
      </c>
      <c r="I24" s="12" t="s">
        <v>112</v>
      </c>
    </row>
    <row r="25" spans="1:9" x14ac:dyDescent="0.2">
      <c r="A25" s="18">
        <v>46266</v>
      </c>
      <c r="B25" s="14" t="s">
        <v>77</v>
      </c>
      <c r="C25" s="12" t="s">
        <v>78</v>
      </c>
      <c r="D25" s="13">
        <v>0.45833333333333331</v>
      </c>
      <c r="E25" s="13">
        <v>0.89583333333333337</v>
      </c>
      <c r="F25" s="12">
        <v>4</v>
      </c>
      <c r="G25" s="13">
        <v>0.66874999999999996</v>
      </c>
      <c r="H25" s="12" t="s">
        <v>9</v>
      </c>
      <c r="I25" s="12" t="s">
        <v>120</v>
      </c>
    </row>
    <row r="26" spans="1:9" x14ac:dyDescent="0.2">
      <c r="A26" s="18">
        <v>46266</v>
      </c>
      <c r="B26" s="14" t="s">
        <v>14</v>
      </c>
      <c r="C26" s="12" t="s">
        <v>21</v>
      </c>
      <c r="D26" s="13">
        <v>0.375</v>
      </c>
      <c r="E26" s="13">
        <v>0.79166666666666663</v>
      </c>
      <c r="F26" s="12">
        <v>5</v>
      </c>
      <c r="G26" s="13">
        <v>0.88055555555555554</v>
      </c>
      <c r="H26" s="12" t="s">
        <v>111</v>
      </c>
      <c r="I26" s="12"/>
    </row>
    <row r="27" spans="1:9" ht="32" customHeight="1" x14ac:dyDescent="0.2">
      <c r="A27" s="18">
        <v>46266</v>
      </c>
      <c r="B27" s="14" t="s">
        <v>15</v>
      </c>
      <c r="C27" s="12" t="s">
        <v>109</v>
      </c>
      <c r="D27" s="13">
        <v>0.54166666666666663</v>
      </c>
      <c r="E27" s="13">
        <v>0.9375</v>
      </c>
      <c r="F27" s="12">
        <v>5</v>
      </c>
      <c r="G27" s="13">
        <v>0.86041666666666672</v>
      </c>
      <c r="H27" s="12" t="s">
        <v>9</v>
      </c>
      <c r="I27" s="16" t="s">
        <v>126</v>
      </c>
    </row>
    <row r="28" spans="1:9" x14ac:dyDescent="0.2">
      <c r="A28" s="18">
        <v>46266</v>
      </c>
      <c r="B28" s="14" t="s">
        <v>16</v>
      </c>
      <c r="C28" s="12" t="s">
        <v>110</v>
      </c>
      <c r="D28" s="13">
        <v>0.45833333333333331</v>
      </c>
      <c r="E28" s="13">
        <v>0.83333333333333337</v>
      </c>
      <c r="F28" s="12">
        <v>5</v>
      </c>
      <c r="G28" s="13">
        <v>0.80833333333333335</v>
      </c>
      <c r="H28" s="12" t="s">
        <v>9</v>
      </c>
      <c r="I28" s="12" t="s">
        <v>116</v>
      </c>
    </row>
    <row r="29" spans="1:9" x14ac:dyDescent="0.2">
      <c r="A29" s="18">
        <v>46266</v>
      </c>
      <c r="B29" s="14" t="s">
        <v>17</v>
      </c>
      <c r="C29" s="12" t="s">
        <v>19</v>
      </c>
      <c r="D29" s="15">
        <v>0.45833333333333331</v>
      </c>
      <c r="E29" s="15">
        <v>0.83333333333333337</v>
      </c>
      <c r="F29" s="12">
        <v>5</v>
      </c>
      <c r="G29" s="13">
        <v>0.85833333333333328</v>
      </c>
      <c r="H29" s="12" t="s">
        <v>9</v>
      </c>
      <c r="I29" s="12"/>
    </row>
    <row r="30" spans="1:9" x14ac:dyDescent="0.2">
      <c r="A30" s="18">
        <v>46266</v>
      </c>
      <c r="B30" s="14" t="s">
        <v>18</v>
      </c>
      <c r="C30" s="12" t="s">
        <v>20</v>
      </c>
      <c r="D30" s="13">
        <v>0.375</v>
      </c>
      <c r="E30" s="15">
        <v>0.85416666666666663</v>
      </c>
      <c r="F30" s="12">
        <v>5</v>
      </c>
      <c r="G30" s="13">
        <v>0.72569444444444442</v>
      </c>
      <c r="H30" s="12" t="s">
        <v>9</v>
      </c>
      <c r="I30" s="12"/>
    </row>
    <row r="31" spans="1:9" x14ac:dyDescent="0.2">
      <c r="A31" s="18">
        <v>46266</v>
      </c>
      <c r="B31" s="14" t="s">
        <v>77</v>
      </c>
      <c r="C31" s="12" t="s">
        <v>78</v>
      </c>
      <c r="D31" s="13">
        <v>0.45833333333333331</v>
      </c>
      <c r="E31" s="13">
        <v>0.89583333333333337</v>
      </c>
      <c r="F31" s="12">
        <v>5</v>
      </c>
      <c r="G31" s="13">
        <v>0.73611111111111116</v>
      </c>
      <c r="H31" s="12" t="s">
        <v>9</v>
      </c>
      <c r="I31" s="12" t="s">
        <v>121</v>
      </c>
    </row>
    <row r="32" spans="1:9" x14ac:dyDescent="0.2">
      <c r="A32" s="18">
        <v>46266</v>
      </c>
      <c r="B32" s="14" t="s">
        <v>15</v>
      </c>
      <c r="C32" s="12" t="s">
        <v>109</v>
      </c>
      <c r="D32" s="13">
        <v>0.54166666666666663</v>
      </c>
      <c r="E32" s="13">
        <v>0.9375</v>
      </c>
      <c r="F32" s="12">
        <v>6</v>
      </c>
      <c r="G32" s="13">
        <v>0.94166666666666665</v>
      </c>
      <c r="H32" s="12" t="s">
        <v>9</v>
      </c>
      <c r="I32" s="12" t="s">
        <v>127</v>
      </c>
    </row>
    <row r="33" spans="1:176" x14ac:dyDescent="0.2">
      <c r="A33" s="18">
        <v>46266</v>
      </c>
      <c r="B33" s="14" t="s">
        <v>17</v>
      </c>
      <c r="C33" s="12" t="s">
        <v>19</v>
      </c>
      <c r="D33" s="15">
        <v>0.45833333333333331</v>
      </c>
      <c r="E33" s="15">
        <v>0.83333333333333337</v>
      </c>
      <c r="F33" s="12">
        <v>6</v>
      </c>
      <c r="G33" s="13">
        <v>0.85833333333333328</v>
      </c>
      <c r="H33" s="12" t="s">
        <v>9</v>
      </c>
      <c r="I33" s="12"/>
    </row>
    <row r="34" spans="1:176" x14ac:dyDescent="0.2">
      <c r="A34" s="18">
        <v>46266</v>
      </c>
      <c r="B34" s="14" t="s">
        <v>18</v>
      </c>
      <c r="C34" s="12" t="s">
        <v>20</v>
      </c>
      <c r="D34" s="13">
        <v>0.375</v>
      </c>
      <c r="E34" s="15">
        <v>0.85416666666666663</v>
      </c>
      <c r="F34" s="12">
        <v>6</v>
      </c>
      <c r="G34" s="13">
        <v>0.85833333333333328</v>
      </c>
      <c r="H34" s="12" t="s">
        <v>9</v>
      </c>
      <c r="I34" s="12" t="s">
        <v>113</v>
      </c>
    </row>
    <row r="35" spans="1:176" s="17" customFormat="1" x14ac:dyDescent="0.2">
      <c r="A35" s="18">
        <v>46266</v>
      </c>
      <c r="B35" s="14" t="s">
        <v>77</v>
      </c>
      <c r="C35" s="12" t="s">
        <v>78</v>
      </c>
      <c r="D35" s="13">
        <v>0.45833333333333331</v>
      </c>
      <c r="E35" s="13">
        <v>0.89583333333333337</v>
      </c>
      <c r="F35" s="12">
        <v>6</v>
      </c>
      <c r="G35" s="13">
        <v>0.85972222222222228</v>
      </c>
      <c r="H35" s="12" t="s">
        <v>111</v>
      </c>
      <c r="I35" s="12" t="s">
        <v>122</v>
      </c>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row>
    <row r="36" spans="1:176" x14ac:dyDescent="0.2">
      <c r="A36" s="18">
        <v>46267</v>
      </c>
      <c r="B36" s="14" t="s">
        <v>14</v>
      </c>
      <c r="C36" s="12" t="s">
        <v>21</v>
      </c>
      <c r="D36" s="13">
        <v>0.375</v>
      </c>
      <c r="E36" s="13">
        <v>0.79166666666666663</v>
      </c>
      <c r="F36" s="12">
        <v>1</v>
      </c>
      <c r="G36" s="13">
        <v>0.42916666666666664</v>
      </c>
      <c r="H36" s="12" t="s">
        <v>111</v>
      </c>
      <c r="I36" s="12"/>
    </row>
    <row r="37" spans="1:176" x14ac:dyDescent="0.2">
      <c r="A37" s="18">
        <v>46267</v>
      </c>
      <c r="B37" s="14" t="s">
        <v>15</v>
      </c>
      <c r="C37" s="12" t="s">
        <v>109</v>
      </c>
      <c r="D37" s="13">
        <v>0.54166666666666663</v>
      </c>
      <c r="E37" s="13">
        <v>0.9375</v>
      </c>
      <c r="F37" s="12">
        <v>1</v>
      </c>
      <c r="G37" s="13">
        <v>0.56041666666666667</v>
      </c>
      <c r="H37" s="12" t="s">
        <v>9</v>
      </c>
      <c r="I37" s="12"/>
    </row>
    <row r="38" spans="1:176" x14ac:dyDescent="0.2">
      <c r="A38" s="18">
        <v>46267</v>
      </c>
      <c r="B38" s="14" t="s">
        <v>16</v>
      </c>
      <c r="C38" s="12" t="s">
        <v>110</v>
      </c>
      <c r="D38" s="13">
        <v>0.45833333333333331</v>
      </c>
      <c r="E38" s="13">
        <v>0.83333333333333337</v>
      </c>
      <c r="F38" s="12">
        <v>1</v>
      </c>
      <c r="G38" s="13">
        <v>0.50555555555555554</v>
      </c>
      <c r="H38" s="12" t="s">
        <v>111</v>
      </c>
      <c r="I38" s="12"/>
    </row>
    <row r="39" spans="1:176" x14ac:dyDescent="0.2">
      <c r="A39" s="18">
        <v>46267</v>
      </c>
      <c r="B39" s="14" t="s">
        <v>17</v>
      </c>
      <c r="C39" s="12" t="s">
        <v>19</v>
      </c>
      <c r="D39" s="15">
        <v>0.45833333333333331</v>
      </c>
      <c r="E39" s="15">
        <v>0.83333333333333337</v>
      </c>
      <c r="F39" s="12">
        <v>1</v>
      </c>
      <c r="G39" s="13">
        <v>0.50555555555555554</v>
      </c>
      <c r="H39" s="12" t="s">
        <v>9</v>
      </c>
      <c r="I39" s="12"/>
    </row>
    <row r="40" spans="1:176" x14ac:dyDescent="0.2">
      <c r="A40" s="18">
        <v>46267</v>
      </c>
      <c r="B40" s="14" t="s">
        <v>18</v>
      </c>
      <c r="C40" s="12" t="s">
        <v>20</v>
      </c>
      <c r="D40" s="13">
        <v>0.375</v>
      </c>
      <c r="E40" s="15">
        <v>0.85416666666666663</v>
      </c>
      <c r="F40" s="12">
        <v>1</v>
      </c>
      <c r="G40" s="13">
        <v>0.41805555555555557</v>
      </c>
      <c r="H40" s="12" t="s">
        <v>111</v>
      </c>
      <c r="I40" s="12" t="s">
        <v>131</v>
      </c>
    </row>
    <row r="41" spans="1:176" x14ac:dyDescent="0.2">
      <c r="A41" s="18">
        <v>46267</v>
      </c>
      <c r="B41" s="14" t="s">
        <v>77</v>
      </c>
      <c r="C41" s="12" t="s">
        <v>78</v>
      </c>
      <c r="D41" s="13">
        <v>0.45833333333333331</v>
      </c>
      <c r="E41" s="13">
        <v>0.89583333333333337</v>
      </c>
      <c r="F41" s="12">
        <v>1</v>
      </c>
      <c r="G41" s="13">
        <v>0.51249999999999996</v>
      </c>
      <c r="H41" s="12" t="s">
        <v>9</v>
      </c>
      <c r="I41" s="12" t="s">
        <v>134</v>
      </c>
    </row>
    <row r="42" spans="1:176" x14ac:dyDescent="0.2">
      <c r="A42" s="18">
        <v>46267</v>
      </c>
      <c r="B42" s="14" t="s">
        <v>14</v>
      </c>
      <c r="C42" s="12" t="s">
        <v>21</v>
      </c>
      <c r="D42" s="13">
        <v>0.375</v>
      </c>
      <c r="E42" s="13">
        <v>0.79166666666666663</v>
      </c>
      <c r="F42" s="12">
        <v>2</v>
      </c>
      <c r="G42" s="13">
        <v>0.50347222222222221</v>
      </c>
      <c r="H42" s="12" t="s">
        <v>9</v>
      </c>
      <c r="I42" s="12"/>
    </row>
    <row r="43" spans="1:176" x14ac:dyDescent="0.2">
      <c r="A43" s="18">
        <v>46267</v>
      </c>
      <c r="B43" s="14" t="s">
        <v>15</v>
      </c>
      <c r="C43" s="12" t="s">
        <v>109</v>
      </c>
      <c r="D43" s="13">
        <v>0.54166666666666663</v>
      </c>
      <c r="E43" s="13">
        <v>0.9375</v>
      </c>
      <c r="F43" s="12">
        <v>2</v>
      </c>
      <c r="G43" s="13">
        <v>0.56805555555555554</v>
      </c>
      <c r="H43" s="12" t="s">
        <v>9</v>
      </c>
      <c r="I43" s="12"/>
    </row>
    <row r="44" spans="1:176" x14ac:dyDescent="0.2">
      <c r="A44" s="18">
        <v>46267</v>
      </c>
      <c r="B44" s="14" t="s">
        <v>16</v>
      </c>
      <c r="C44" s="12" t="s">
        <v>110</v>
      </c>
      <c r="D44" s="13">
        <v>0.45833333333333331</v>
      </c>
      <c r="E44" s="13">
        <v>0.83333333333333337</v>
      </c>
      <c r="F44" s="12">
        <v>2</v>
      </c>
      <c r="G44" s="13">
        <v>0.57916666666666672</v>
      </c>
      <c r="H44" s="12" t="s">
        <v>111</v>
      </c>
      <c r="I44" s="12"/>
    </row>
    <row r="45" spans="1:176" x14ac:dyDescent="0.2">
      <c r="A45" s="18">
        <v>46267</v>
      </c>
      <c r="B45" s="14" t="s">
        <v>17</v>
      </c>
      <c r="C45" s="12" t="s">
        <v>19</v>
      </c>
      <c r="D45" s="15">
        <v>0.45833333333333331</v>
      </c>
      <c r="E45" s="15">
        <v>0.83333333333333337</v>
      </c>
      <c r="F45" s="12">
        <v>2</v>
      </c>
      <c r="G45" s="13">
        <v>0.57430555555555551</v>
      </c>
      <c r="H45" s="12" t="s">
        <v>9</v>
      </c>
      <c r="I45" s="12"/>
    </row>
    <row r="46" spans="1:176" x14ac:dyDescent="0.2">
      <c r="A46" s="18">
        <v>46267</v>
      </c>
      <c r="B46" s="14" t="s">
        <v>18</v>
      </c>
      <c r="C46" s="12" t="s">
        <v>20</v>
      </c>
      <c r="D46" s="13">
        <v>0.375</v>
      </c>
      <c r="E46" s="15">
        <v>0.85416666666666663</v>
      </c>
      <c r="F46" s="12">
        <v>2</v>
      </c>
      <c r="G46" s="13">
        <v>0.58125000000000004</v>
      </c>
      <c r="H46" s="12" t="s">
        <v>9</v>
      </c>
      <c r="I46" s="12"/>
    </row>
    <row r="47" spans="1:176" x14ac:dyDescent="0.2">
      <c r="A47" s="18">
        <v>46267</v>
      </c>
      <c r="B47" s="14" t="s">
        <v>77</v>
      </c>
      <c r="C47" s="12" t="s">
        <v>78</v>
      </c>
      <c r="D47" s="13">
        <v>0.45833333333333331</v>
      </c>
      <c r="E47" s="13">
        <v>0.89583333333333337</v>
      </c>
      <c r="F47" s="12">
        <v>2</v>
      </c>
      <c r="G47" s="13">
        <v>0.5805555555555556</v>
      </c>
      <c r="H47" s="12" t="s">
        <v>9</v>
      </c>
      <c r="I47" s="12" t="s">
        <v>133</v>
      </c>
    </row>
    <row r="48" spans="1:176" x14ac:dyDescent="0.2">
      <c r="A48" s="18">
        <v>46267</v>
      </c>
      <c r="B48" s="14" t="s">
        <v>14</v>
      </c>
      <c r="C48" s="12" t="s">
        <v>21</v>
      </c>
      <c r="D48" s="13">
        <v>0.375</v>
      </c>
      <c r="E48" s="13">
        <v>0.79166666666666663</v>
      </c>
      <c r="F48" s="12">
        <v>3</v>
      </c>
      <c r="G48" s="13">
        <v>0.57916666666666672</v>
      </c>
      <c r="H48" s="12" t="s">
        <v>9</v>
      </c>
      <c r="I48" s="12"/>
    </row>
    <row r="49" spans="1:9" x14ac:dyDescent="0.2">
      <c r="A49" s="18">
        <v>46267</v>
      </c>
      <c r="B49" s="14" t="s">
        <v>15</v>
      </c>
      <c r="C49" s="12" t="s">
        <v>109</v>
      </c>
      <c r="D49" s="13">
        <v>0.54166666666666663</v>
      </c>
      <c r="E49" s="13">
        <v>0.9375</v>
      </c>
      <c r="F49" s="12">
        <v>3</v>
      </c>
      <c r="G49" s="13">
        <v>0.6479166666666667</v>
      </c>
      <c r="H49" s="12" t="s">
        <v>9</v>
      </c>
      <c r="I49" s="12"/>
    </row>
    <row r="50" spans="1:9" x14ac:dyDescent="0.2">
      <c r="A50" s="18">
        <v>46267</v>
      </c>
      <c r="B50" s="14" t="s">
        <v>16</v>
      </c>
      <c r="C50" s="12" t="s">
        <v>110</v>
      </c>
      <c r="D50" s="13">
        <v>0.45833333333333331</v>
      </c>
      <c r="E50" s="13">
        <v>0.83333333333333337</v>
      </c>
      <c r="F50" s="12">
        <v>3</v>
      </c>
      <c r="G50" s="13">
        <v>0.63888888888888884</v>
      </c>
      <c r="H50" s="12" t="s">
        <v>9</v>
      </c>
      <c r="I50" s="12"/>
    </row>
    <row r="51" spans="1:9" x14ac:dyDescent="0.2">
      <c r="A51" s="18">
        <v>46267</v>
      </c>
      <c r="B51" s="14" t="s">
        <v>17</v>
      </c>
      <c r="C51" s="12" t="s">
        <v>19</v>
      </c>
      <c r="D51" s="15">
        <v>0.45833333333333331</v>
      </c>
      <c r="E51" s="15">
        <v>0.83333333333333337</v>
      </c>
      <c r="F51" s="12">
        <v>3</v>
      </c>
      <c r="G51" s="13">
        <v>0.68263888888888891</v>
      </c>
      <c r="H51" s="12" t="s">
        <v>9</v>
      </c>
      <c r="I51" s="12"/>
    </row>
    <row r="52" spans="1:9" x14ac:dyDescent="0.2">
      <c r="A52" s="18">
        <v>46267</v>
      </c>
      <c r="B52" s="14" t="s">
        <v>18</v>
      </c>
      <c r="C52" s="12" t="s">
        <v>20</v>
      </c>
      <c r="D52" s="13">
        <v>0.375</v>
      </c>
      <c r="E52" s="15">
        <v>0.85416666666666663</v>
      </c>
      <c r="F52" s="12">
        <v>3</v>
      </c>
      <c r="G52" s="13">
        <v>0.64722222222222225</v>
      </c>
      <c r="H52" s="12" t="s">
        <v>9</v>
      </c>
      <c r="I52" s="12"/>
    </row>
    <row r="53" spans="1:9" x14ac:dyDescent="0.2">
      <c r="A53" s="18">
        <v>46267</v>
      </c>
      <c r="B53" s="14" t="s">
        <v>77</v>
      </c>
      <c r="C53" s="12" t="s">
        <v>78</v>
      </c>
      <c r="D53" s="13">
        <v>0.45833333333333331</v>
      </c>
      <c r="E53" s="13">
        <v>0.89583333333333337</v>
      </c>
      <c r="F53" s="12">
        <v>3</v>
      </c>
      <c r="G53" s="13">
        <v>0.62430555555555556</v>
      </c>
      <c r="H53" s="12" t="s">
        <v>9</v>
      </c>
      <c r="I53" s="12" t="s">
        <v>134</v>
      </c>
    </row>
    <row r="54" spans="1:9" x14ac:dyDescent="0.2">
      <c r="A54" s="18">
        <v>46267</v>
      </c>
      <c r="B54" s="14" t="s">
        <v>14</v>
      </c>
      <c r="C54" s="12" t="s">
        <v>21</v>
      </c>
      <c r="D54" s="13">
        <v>0.375</v>
      </c>
      <c r="E54" s="13">
        <v>0.79166666666666663</v>
      </c>
      <c r="F54" s="12">
        <v>4</v>
      </c>
      <c r="G54" s="13">
        <v>0.64583333333333337</v>
      </c>
      <c r="H54" s="12" t="s">
        <v>111</v>
      </c>
      <c r="I54" s="12"/>
    </row>
    <row r="55" spans="1:9" x14ac:dyDescent="0.2">
      <c r="A55" s="18">
        <v>46267</v>
      </c>
      <c r="B55" s="14" t="s">
        <v>15</v>
      </c>
      <c r="C55" s="12" t="s">
        <v>109</v>
      </c>
      <c r="D55" s="13">
        <v>0.54166666666666663</v>
      </c>
      <c r="E55" s="13">
        <v>0.9375</v>
      </c>
      <c r="F55" s="12">
        <v>4</v>
      </c>
      <c r="G55" s="13">
        <v>0.74930555555555556</v>
      </c>
      <c r="H55" s="12" t="s">
        <v>9</v>
      </c>
      <c r="I55" s="12" t="s">
        <v>128</v>
      </c>
    </row>
    <row r="56" spans="1:9" x14ac:dyDescent="0.2">
      <c r="A56" s="18">
        <v>46267</v>
      </c>
      <c r="B56" s="14" t="s">
        <v>16</v>
      </c>
      <c r="C56" s="12" t="s">
        <v>110</v>
      </c>
      <c r="D56" s="13">
        <v>0.45833333333333331</v>
      </c>
      <c r="E56" s="13">
        <v>0.83333333333333337</v>
      </c>
      <c r="F56" s="12">
        <v>4</v>
      </c>
      <c r="G56" s="13">
        <v>0.72847222222222219</v>
      </c>
      <c r="H56" s="12" t="s">
        <v>9</v>
      </c>
      <c r="I56" s="12"/>
    </row>
    <row r="57" spans="1:9" x14ac:dyDescent="0.2">
      <c r="A57" s="18">
        <v>46267</v>
      </c>
      <c r="B57" s="14" t="s">
        <v>17</v>
      </c>
      <c r="C57" s="12" t="s">
        <v>19</v>
      </c>
      <c r="D57" s="15">
        <v>0.45833333333333331</v>
      </c>
      <c r="E57" s="15">
        <v>0.83333333333333337</v>
      </c>
      <c r="F57" s="12">
        <v>4</v>
      </c>
      <c r="G57" s="13">
        <v>0.74861111111111112</v>
      </c>
      <c r="H57" s="12" t="s">
        <v>9</v>
      </c>
      <c r="I57" s="12"/>
    </row>
    <row r="58" spans="1:9" x14ac:dyDescent="0.2">
      <c r="A58" s="18">
        <v>46267</v>
      </c>
      <c r="B58" s="14" t="s">
        <v>18</v>
      </c>
      <c r="C58" s="12" t="s">
        <v>20</v>
      </c>
      <c r="D58" s="13">
        <v>0.375</v>
      </c>
      <c r="E58" s="15">
        <v>0.85416666666666663</v>
      </c>
      <c r="F58" s="12">
        <v>4</v>
      </c>
      <c r="G58" s="13">
        <v>0.72777777777777775</v>
      </c>
      <c r="H58" s="12" t="s">
        <v>111</v>
      </c>
      <c r="I58" s="12" t="s">
        <v>132</v>
      </c>
    </row>
    <row r="59" spans="1:9" x14ac:dyDescent="0.2">
      <c r="A59" s="18">
        <v>46267</v>
      </c>
      <c r="B59" s="14" t="s">
        <v>77</v>
      </c>
      <c r="C59" s="12" t="s">
        <v>78</v>
      </c>
      <c r="D59" s="13">
        <v>0.45833333333333331</v>
      </c>
      <c r="E59" s="13">
        <v>0.89583333333333337</v>
      </c>
      <c r="F59" s="12">
        <v>4</v>
      </c>
      <c r="G59" s="13">
        <v>0.7319444444444444</v>
      </c>
      <c r="H59" s="12" t="s">
        <v>9</v>
      </c>
      <c r="I59" s="12"/>
    </row>
    <row r="60" spans="1:9" x14ac:dyDescent="0.2">
      <c r="A60" s="18">
        <v>46267</v>
      </c>
      <c r="B60" s="14" t="s">
        <v>14</v>
      </c>
      <c r="C60" s="12" t="s">
        <v>21</v>
      </c>
      <c r="D60" s="13">
        <v>0.375</v>
      </c>
      <c r="E60" s="13">
        <v>0.79166666666666663</v>
      </c>
      <c r="F60" s="12">
        <v>5</v>
      </c>
      <c r="G60" s="13">
        <v>0.73750000000000004</v>
      </c>
      <c r="H60" s="12" t="s">
        <v>111</v>
      </c>
      <c r="I60" s="12"/>
    </row>
    <row r="61" spans="1:9" x14ac:dyDescent="0.2">
      <c r="A61" s="18">
        <v>46267</v>
      </c>
      <c r="B61" s="14" t="s">
        <v>15</v>
      </c>
      <c r="C61" s="12" t="s">
        <v>109</v>
      </c>
      <c r="D61" s="13">
        <v>0.54166666666666663</v>
      </c>
      <c r="E61" s="13">
        <v>0.9375</v>
      </c>
      <c r="F61" s="12">
        <v>5</v>
      </c>
      <c r="G61" s="13">
        <v>0.81597222222222221</v>
      </c>
      <c r="H61" s="12" t="s">
        <v>111</v>
      </c>
      <c r="I61" s="12" t="s">
        <v>129</v>
      </c>
    </row>
    <row r="62" spans="1:9" x14ac:dyDescent="0.2">
      <c r="A62" s="18">
        <v>46267</v>
      </c>
      <c r="B62" s="14" t="s">
        <v>16</v>
      </c>
      <c r="C62" s="12" t="s">
        <v>110</v>
      </c>
      <c r="D62" s="13">
        <v>0.45833333333333331</v>
      </c>
      <c r="E62" s="13">
        <v>0.83333333333333337</v>
      </c>
      <c r="F62" s="12">
        <v>5</v>
      </c>
      <c r="G62" s="13">
        <v>0.83402777777777781</v>
      </c>
      <c r="H62" s="12" t="s">
        <v>111</v>
      </c>
      <c r="I62" s="12"/>
    </row>
    <row r="63" spans="1:9" x14ac:dyDescent="0.2">
      <c r="A63" s="18">
        <v>46267</v>
      </c>
      <c r="B63" s="14" t="s">
        <v>17</v>
      </c>
      <c r="C63" s="12" t="s">
        <v>19</v>
      </c>
      <c r="D63" s="15">
        <v>0.45833333333333331</v>
      </c>
      <c r="E63" s="15">
        <v>0.83333333333333337</v>
      </c>
      <c r="F63" s="12">
        <v>5</v>
      </c>
      <c r="G63" s="13">
        <v>0.81319444444444444</v>
      </c>
      <c r="H63" s="12" t="s">
        <v>9</v>
      </c>
      <c r="I63" s="12"/>
    </row>
    <row r="64" spans="1:9" x14ac:dyDescent="0.2">
      <c r="A64" s="18">
        <v>46267</v>
      </c>
      <c r="B64" s="14" t="s">
        <v>18</v>
      </c>
      <c r="C64" s="12" t="s">
        <v>20</v>
      </c>
      <c r="D64" s="13">
        <v>0.375</v>
      </c>
      <c r="E64" s="15">
        <v>0.85416666666666663</v>
      </c>
      <c r="F64" s="12">
        <v>5</v>
      </c>
      <c r="G64" s="13">
        <v>0.81388888888888888</v>
      </c>
      <c r="H64" s="12" t="s">
        <v>9</v>
      </c>
      <c r="I64" s="12"/>
    </row>
    <row r="65" spans="1:9" x14ac:dyDescent="0.2">
      <c r="A65" s="18">
        <v>46267</v>
      </c>
      <c r="B65" s="14" t="s">
        <v>77</v>
      </c>
      <c r="C65" s="12" t="s">
        <v>78</v>
      </c>
      <c r="D65" s="13">
        <v>0.45833333333333331</v>
      </c>
      <c r="E65" s="13">
        <v>0.89583333333333337</v>
      </c>
      <c r="F65" s="12">
        <v>5</v>
      </c>
      <c r="G65" s="13">
        <v>0.81597222222222221</v>
      </c>
      <c r="H65" s="12" t="s">
        <v>9</v>
      </c>
      <c r="I65" s="12" t="s">
        <v>134</v>
      </c>
    </row>
    <row r="66" spans="1:9" x14ac:dyDescent="0.2">
      <c r="A66" s="18">
        <v>46267</v>
      </c>
      <c r="B66" s="14" t="s">
        <v>14</v>
      </c>
      <c r="C66" s="12" t="s">
        <v>21</v>
      </c>
      <c r="D66" s="13">
        <v>0.375</v>
      </c>
      <c r="E66" s="13">
        <v>0.79166666666666663</v>
      </c>
      <c r="F66" s="12">
        <v>6</v>
      </c>
      <c r="G66" s="13">
        <v>0.81527777777777777</v>
      </c>
      <c r="H66" s="12" t="s">
        <v>111</v>
      </c>
      <c r="I66" s="12"/>
    </row>
    <row r="67" spans="1:9" x14ac:dyDescent="0.2">
      <c r="A67" s="18">
        <v>46267</v>
      </c>
      <c r="B67" s="14" t="s">
        <v>15</v>
      </c>
      <c r="C67" s="12" t="s">
        <v>109</v>
      </c>
      <c r="D67" s="13">
        <v>0.54166666666666663</v>
      </c>
      <c r="E67" s="13">
        <v>0.9375</v>
      </c>
      <c r="F67" s="12">
        <v>6</v>
      </c>
      <c r="G67" s="13">
        <v>0.87291666666666667</v>
      </c>
      <c r="H67" s="12" t="s">
        <v>9</v>
      </c>
      <c r="I67" s="12" t="s">
        <v>130</v>
      </c>
    </row>
    <row r="68" spans="1:9" x14ac:dyDescent="0.2">
      <c r="A68" s="18">
        <v>46268</v>
      </c>
      <c r="B68" s="14" t="s">
        <v>14</v>
      </c>
      <c r="C68" s="12" t="s">
        <v>21</v>
      </c>
      <c r="D68" s="13">
        <v>0.375</v>
      </c>
      <c r="E68" s="13">
        <v>0.79166666666666663</v>
      </c>
      <c r="F68" s="12">
        <v>1</v>
      </c>
      <c r="G68" s="13">
        <v>0.4375</v>
      </c>
      <c r="H68" s="12" t="s">
        <v>111</v>
      </c>
      <c r="I68" s="12"/>
    </row>
    <row r="69" spans="1:9" x14ac:dyDescent="0.2">
      <c r="A69" s="18">
        <v>46268</v>
      </c>
      <c r="B69" s="14" t="s">
        <v>15</v>
      </c>
      <c r="C69" s="12" t="s">
        <v>109</v>
      </c>
      <c r="D69" s="13">
        <v>0.54166666666666663</v>
      </c>
      <c r="E69" s="13">
        <v>0.9375</v>
      </c>
      <c r="F69" s="12">
        <v>1</v>
      </c>
      <c r="G69" s="13">
        <v>0.60069444444444442</v>
      </c>
      <c r="H69" s="12" t="s">
        <v>9</v>
      </c>
      <c r="I69" s="12" t="s">
        <v>133</v>
      </c>
    </row>
    <row r="70" spans="1:9" x14ac:dyDescent="0.2">
      <c r="A70" s="18">
        <v>46268</v>
      </c>
      <c r="B70" s="14" t="s">
        <v>16</v>
      </c>
      <c r="C70" s="12" t="s">
        <v>110</v>
      </c>
      <c r="D70" s="13">
        <v>0.45833333333333331</v>
      </c>
      <c r="E70" s="13">
        <v>0.83333333333333337</v>
      </c>
      <c r="F70" s="12">
        <v>1</v>
      </c>
      <c r="G70" s="13">
        <v>0.50486111111111109</v>
      </c>
      <c r="H70" s="12" t="s">
        <v>111</v>
      </c>
      <c r="I70" s="12"/>
    </row>
    <row r="71" spans="1:9" x14ac:dyDescent="0.2">
      <c r="A71" s="18">
        <v>46268</v>
      </c>
      <c r="B71" s="14" t="s">
        <v>17</v>
      </c>
      <c r="C71" s="12" t="s">
        <v>19</v>
      </c>
      <c r="D71" s="15">
        <v>0.45833333333333331</v>
      </c>
      <c r="E71" s="15">
        <v>0.83333333333333337</v>
      </c>
      <c r="F71" s="12">
        <v>1</v>
      </c>
      <c r="G71" s="13">
        <v>0.51736111111111116</v>
      </c>
      <c r="H71" s="12" t="s">
        <v>9</v>
      </c>
      <c r="I71" s="12"/>
    </row>
    <row r="72" spans="1:9" x14ac:dyDescent="0.2">
      <c r="A72" s="18">
        <v>46268</v>
      </c>
      <c r="B72" s="14" t="s">
        <v>18</v>
      </c>
      <c r="C72" s="12" t="s">
        <v>20</v>
      </c>
      <c r="D72" s="13">
        <v>0.375</v>
      </c>
      <c r="E72" s="15">
        <v>0.85416666666666663</v>
      </c>
      <c r="F72" s="12">
        <v>1</v>
      </c>
      <c r="G72" s="13">
        <v>0.40972222222222221</v>
      </c>
      <c r="H72" s="12" t="s">
        <v>111</v>
      </c>
      <c r="I72" s="12" t="s">
        <v>131</v>
      </c>
    </row>
    <row r="73" spans="1:9" x14ac:dyDescent="0.2">
      <c r="A73" s="18">
        <v>46268</v>
      </c>
      <c r="B73" s="14" t="s">
        <v>77</v>
      </c>
      <c r="C73" s="12" t="s">
        <v>78</v>
      </c>
      <c r="D73" s="13">
        <v>0.45833333333333331</v>
      </c>
      <c r="E73" s="13">
        <v>0.89583333333333337</v>
      </c>
      <c r="F73" s="12">
        <v>1</v>
      </c>
      <c r="G73" s="13">
        <v>0.5180555555555556</v>
      </c>
      <c r="H73" s="12" t="s">
        <v>111</v>
      </c>
      <c r="I73" s="12"/>
    </row>
    <row r="74" spans="1:9" x14ac:dyDescent="0.2">
      <c r="A74" s="18">
        <v>46268</v>
      </c>
      <c r="B74" s="14" t="s">
        <v>14</v>
      </c>
      <c r="C74" s="12" t="s">
        <v>21</v>
      </c>
      <c r="D74" s="13">
        <v>0.375</v>
      </c>
      <c r="E74" s="13">
        <v>0.79166666666666663</v>
      </c>
      <c r="F74" s="12">
        <v>2</v>
      </c>
      <c r="G74" s="13">
        <v>0.51875000000000004</v>
      </c>
      <c r="H74" s="12" t="s">
        <v>111</v>
      </c>
      <c r="I74" s="12"/>
    </row>
    <row r="75" spans="1:9" x14ac:dyDescent="0.2">
      <c r="A75" s="18">
        <v>46268</v>
      </c>
      <c r="B75" s="14" t="s">
        <v>15</v>
      </c>
      <c r="C75" s="12" t="s">
        <v>109</v>
      </c>
      <c r="D75" s="13">
        <v>0.54166666666666663</v>
      </c>
      <c r="E75" s="13">
        <v>0.9375</v>
      </c>
      <c r="F75" s="12">
        <v>2</v>
      </c>
      <c r="G75" s="15">
        <v>0.60624999999999996</v>
      </c>
      <c r="H75" s="12" t="s">
        <v>111</v>
      </c>
      <c r="I75" s="6" t="s">
        <v>136</v>
      </c>
    </row>
    <row r="76" spans="1:9" x14ac:dyDescent="0.2">
      <c r="A76" s="18">
        <v>46268</v>
      </c>
      <c r="B76" s="14" t="s">
        <v>16</v>
      </c>
      <c r="C76" s="12" t="s">
        <v>110</v>
      </c>
      <c r="D76" s="13">
        <v>0.45833333333333331</v>
      </c>
      <c r="E76" s="13">
        <v>0.83333333333333337</v>
      </c>
      <c r="F76" s="12">
        <v>2</v>
      </c>
      <c r="G76" s="13">
        <v>0.57986111111111116</v>
      </c>
      <c r="H76" s="12" t="s">
        <v>111</v>
      </c>
      <c r="I76" s="12"/>
    </row>
    <row r="77" spans="1:9" x14ac:dyDescent="0.2">
      <c r="A77" s="18">
        <v>46268</v>
      </c>
      <c r="B77" s="14" t="s">
        <v>17</v>
      </c>
      <c r="C77" s="12" t="s">
        <v>19</v>
      </c>
      <c r="D77" s="15">
        <v>0.45833333333333331</v>
      </c>
      <c r="E77" s="15">
        <v>0.83333333333333337</v>
      </c>
      <c r="F77" s="12">
        <v>2</v>
      </c>
      <c r="G77" s="13">
        <v>0.56527777777777777</v>
      </c>
      <c r="H77" s="12" t="s">
        <v>9</v>
      </c>
      <c r="I77" s="12"/>
    </row>
    <row r="78" spans="1:9" x14ac:dyDescent="0.2">
      <c r="A78" s="18">
        <v>46268</v>
      </c>
      <c r="B78" s="14" t="s">
        <v>18</v>
      </c>
      <c r="C78" s="12" t="s">
        <v>20</v>
      </c>
      <c r="D78" s="13">
        <v>0.375</v>
      </c>
      <c r="E78" s="15">
        <v>0.85416666666666663</v>
      </c>
      <c r="F78" s="12">
        <v>2</v>
      </c>
      <c r="G78" s="13">
        <v>0.44791666666666669</v>
      </c>
      <c r="H78" s="12" t="s">
        <v>9</v>
      </c>
      <c r="I78" s="12"/>
    </row>
    <row r="79" spans="1:9" x14ac:dyDescent="0.2">
      <c r="A79" s="18">
        <v>46268</v>
      </c>
      <c r="B79" s="14" t="s">
        <v>77</v>
      </c>
      <c r="C79" s="12" t="s">
        <v>78</v>
      </c>
      <c r="D79" s="13">
        <v>0.45833333333333331</v>
      </c>
      <c r="E79" s="13">
        <v>0.89583333333333337</v>
      </c>
      <c r="F79" s="12">
        <v>2</v>
      </c>
      <c r="G79" s="13">
        <v>0.58958333333333335</v>
      </c>
      <c r="H79" s="12" t="s">
        <v>111</v>
      </c>
      <c r="I79" s="12"/>
    </row>
    <row r="80" spans="1:9" x14ac:dyDescent="0.2">
      <c r="A80" s="18">
        <v>46268</v>
      </c>
      <c r="B80" s="14" t="s">
        <v>14</v>
      </c>
      <c r="C80" s="12" t="s">
        <v>21</v>
      </c>
      <c r="D80" s="13">
        <v>0.375</v>
      </c>
      <c r="E80" s="13">
        <v>0.79166666666666663</v>
      </c>
      <c r="F80" s="12">
        <v>3</v>
      </c>
      <c r="G80" s="13">
        <v>0.56458333333333333</v>
      </c>
      <c r="H80" s="12" t="s">
        <v>111</v>
      </c>
      <c r="I80" s="12"/>
    </row>
    <row r="81" spans="1:9" x14ac:dyDescent="0.2">
      <c r="A81" s="18">
        <v>46268</v>
      </c>
      <c r="B81" s="14" t="s">
        <v>15</v>
      </c>
      <c r="C81" s="12" t="s">
        <v>109</v>
      </c>
      <c r="D81" s="13">
        <v>0.54166666666666663</v>
      </c>
      <c r="E81" s="13">
        <v>0.9375</v>
      </c>
      <c r="F81" s="12">
        <v>3</v>
      </c>
      <c r="G81" s="13">
        <v>0.64652777777777781</v>
      </c>
      <c r="H81" s="12" t="s">
        <v>111</v>
      </c>
      <c r="I81" s="12"/>
    </row>
    <row r="82" spans="1:9" x14ac:dyDescent="0.2">
      <c r="A82" s="18">
        <v>46268</v>
      </c>
      <c r="B82" s="14" t="s">
        <v>16</v>
      </c>
      <c r="C82" s="12" t="s">
        <v>110</v>
      </c>
      <c r="D82" s="13">
        <v>0.45833333333333331</v>
      </c>
      <c r="E82" s="13">
        <v>0.83333333333333337</v>
      </c>
      <c r="F82" s="12">
        <v>3</v>
      </c>
      <c r="G82" s="13">
        <v>0.6430555555555556</v>
      </c>
      <c r="H82" s="12" t="s">
        <v>111</v>
      </c>
      <c r="I82" s="12"/>
    </row>
    <row r="83" spans="1:9" x14ac:dyDescent="0.2">
      <c r="A83" s="18">
        <v>46268</v>
      </c>
      <c r="B83" s="14" t="s">
        <v>17</v>
      </c>
      <c r="C83" s="12" t="s">
        <v>19</v>
      </c>
      <c r="D83" s="15">
        <v>0.45833333333333331</v>
      </c>
      <c r="E83" s="15">
        <v>0.83333333333333337</v>
      </c>
      <c r="F83" s="12">
        <v>3</v>
      </c>
      <c r="G83" s="13">
        <v>0.68194444444444446</v>
      </c>
      <c r="H83" s="12" t="s">
        <v>9</v>
      </c>
      <c r="I83" s="12"/>
    </row>
    <row r="84" spans="1:9" x14ac:dyDescent="0.2">
      <c r="A84" s="18">
        <v>46268</v>
      </c>
      <c r="B84" s="14" t="s">
        <v>18</v>
      </c>
      <c r="C84" s="12" t="s">
        <v>20</v>
      </c>
      <c r="D84" s="13">
        <v>0.375</v>
      </c>
      <c r="E84" s="15">
        <v>0.85416666666666663</v>
      </c>
      <c r="F84" s="12">
        <v>3</v>
      </c>
      <c r="G84" s="13">
        <v>0.57916666666666672</v>
      </c>
      <c r="H84" s="12" t="s">
        <v>9</v>
      </c>
      <c r="I84" s="12"/>
    </row>
    <row r="85" spans="1:9" x14ac:dyDescent="0.2">
      <c r="A85" s="18">
        <v>46268</v>
      </c>
      <c r="B85" s="14" t="s">
        <v>77</v>
      </c>
      <c r="C85" s="12" t="s">
        <v>78</v>
      </c>
      <c r="D85" s="13">
        <v>0.45833333333333331</v>
      </c>
      <c r="E85" s="13">
        <v>0.89583333333333337</v>
      </c>
      <c r="F85" s="12">
        <v>3</v>
      </c>
      <c r="G85" s="13">
        <v>0.68125000000000002</v>
      </c>
      <c r="H85" s="12" t="s">
        <v>111</v>
      </c>
      <c r="I85" s="12"/>
    </row>
    <row r="86" spans="1:9" x14ac:dyDescent="0.2">
      <c r="A86" s="18">
        <v>46268</v>
      </c>
      <c r="B86" s="14" t="s">
        <v>14</v>
      </c>
      <c r="C86" s="12" t="s">
        <v>21</v>
      </c>
      <c r="D86" s="13">
        <v>0.375</v>
      </c>
      <c r="E86" s="13">
        <v>0.79166666666666663</v>
      </c>
      <c r="F86" s="12">
        <v>4</v>
      </c>
      <c r="G86" s="13">
        <v>0.6479166666666667</v>
      </c>
      <c r="H86" s="12" t="s">
        <v>111</v>
      </c>
      <c r="I86" s="12"/>
    </row>
    <row r="87" spans="1:9" x14ac:dyDescent="0.2">
      <c r="A87" s="18">
        <v>46268</v>
      </c>
      <c r="B87" s="14" t="s">
        <v>15</v>
      </c>
      <c r="C87" s="12" t="s">
        <v>109</v>
      </c>
      <c r="D87" s="13">
        <v>0.54166666666666663</v>
      </c>
      <c r="E87" s="13">
        <v>0.9375</v>
      </c>
      <c r="F87" s="12">
        <v>4</v>
      </c>
      <c r="G87" s="13">
        <v>0.7104166666666667</v>
      </c>
      <c r="H87" s="12" t="s">
        <v>9</v>
      </c>
      <c r="I87" s="12" t="s">
        <v>137</v>
      </c>
    </row>
    <row r="88" spans="1:9" x14ac:dyDescent="0.2">
      <c r="A88" s="18">
        <v>46268</v>
      </c>
      <c r="B88" s="14" t="s">
        <v>16</v>
      </c>
      <c r="C88" s="12" t="s">
        <v>110</v>
      </c>
      <c r="D88" s="13">
        <v>0.45833333333333331</v>
      </c>
      <c r="E88" s="13">
        <v>0.83333333333333337</v>
      </c>
      <c r="F88" s="12">
        <v>4</v>
      </c>
      <c r="G88" s="13">
        <v>0.73055555555555551</v>
      </c>
      <c r="H88" s="12" t="s">
        <v>111</v>
      </c>
      <c r="I88" s="12"/>
    </row>
    <row r="89" spans="1:9" x14ac:dyDescent="0.2">
      <c r="A89" s="18">
        <v>46268</v>
      </c>
      <c r="B89" s="14" t="s">
        <v>17</v>
      </c>
      <c r="C89" s="12" t="s">
        <v>19</v>
      </c>
      <c r="D89" s="15">
        <v>0.45833333333333331</v>
      </c>
      <c r="E89" s="15">
        <v>0.83333333333333337</v>
      </c>
      <c r="F89" s="12">
        <v>4</v>
      </c>
      <c r="G89" s="13">
        <v>0.74930555555555556</v>
      </c>
      <c r="H89" s="12" t="s">
        <v>9</v>
      </c>
      <c r="I89" s="12"/>
    </row>
    <row r="90" spans="1:9" x14ac:dyDescent="0.2">
      <c r="A90" s="18">
        <v>46268</v>
      </c>
      <c r="B90" s="14" t="s">
        <v>18</v>
      </c>
      <c r="C90" s="12" t="s">
        <v>20</v>
      </c>
      <c r="D90" s="13">
        <v>0.375</v>
      </c>
      <c r="E90" s="15">
        <v>0.85416666666666663</v>
      </c>
      <c r="F90" s="12">
        <v>4</v>
      </c>
      <c r="G90" s="13">
        <v>0.64722222222222225</v>
      </c>
      <c r="H90" s="12" t="s">
        <v>9</v>
      </c>
      <c r="I90" s="12" t="s">
        <v>135</v>
      </c>
    </row>
    <row r="91" spans="1:9" x14ac:dyDescent="0.2">
      <c r="A91" s="18">
        <v>46268</v>
      </c>
      <c r="B91" s="14" t="s">
        <v>77</v>
      </c>
      <c r="C91" s="12" t="s">
        <v>78</v>
      </c>
      <c r="D91" s="13">
        <v>0.45833333333333331</v>
      </c>
      <c r="E91" s="13">
        <v>0.89583333333333337</v>
      </c>
      <c r="F91" s="12">
        <v>4</v>
      </c>
      <c r="G91" s="13">
        <v>0.73124999999999996</v>
      </c>
      <c r="H91" s="12" t="s">
        <v>111</v>
      </c>
      <c r="I91" s="12"/>
    </row>
    <row r="92" spans="1:9" x14ac:dyDescent="0.2">
      <c r="A92" s="18">
        <v>46268</v>
      </c>
      <c r="B92" s="14" t="s">
        <v>14</v>
      </c>
      <c r="C92" s="12" t="s">
        <v>21</v>
      </c>
      <c r="D92" s="13">
        <v>0.375</v>
      </c>
      <c r="E92" s="13">
        <v>0.79166666666666663</v>
      </c>
      <c r="F92" s="12">
        <v>5</v>
      </c>
      <c r="G92" s="13">
        <v>0.72986111111111107</v>
      </c>
      <c r="H92" s="12" t="s">
        <v>111</v>
      </c>
      <c r="I92" s="12"/>
    </row>
    <row r="93" spans="1:9" x14ac:dyDescent="0.2">
      <c r="A93" s="18">
        <v>46268</v>
      </c>
      <c r="B93" s="14" t="s">
        <v>15</v>
      </c>
      <c r="C93" s="12" t="s">
        <v>109</v>
      </c>
      <c r="D93" s="13">
        <v>0.54166666666666663</v>
      </c>
      <c r="E93" s="13">
        <v>0.9375</v>
      </c>
      <c r="F93" s="12">
        <v>5</v>
      </c>
      <c r="G93" s="13">
        <v>0.7583333333333333</v>
      </c>
      <c r="H93" s="12" t="s">
        <v>111</v>
      </c>
      <c r="I93" s="12"/>
    </row>
    <row r="94" spans="1:9" x14ac:dyDescent="0.2">
      <c r="A94" s="18">
        <v>46268</v>
      </c>
      <c r="B94" s="14" t="s">
        <v>16</v>
      </c>
      <c r="C94" s="12" t="s">
        <v>110</v>
      </c>
      <c r="D94" s="13">
        <v>0.45833333333333331</v>
      </c>
      <c r="E94" s="13">
        <v>0.83333333333333337</v>
      </c>
      <c r="F94" s="12">
        <v>5</v>
      </c>
      <c r="G94" s="13">
        <v>0.80069444444444449</v>
      </c>
      <c r="H94" s="12" t="s">
        <v>111</v>
      </c>
      <c r="I94" s="12"/>
    </row>
    <row r="95" spans="1:9" x14ac:dyDescent="0.2">
      <c r="A95" s="18">
        <v>46268</v>
      </c>
      <c r="B95" s="14" t="s">
        <v>18</v>
      </c>
      <c r="C95" s="12" t="s">
        <v>20</v>
      </c>
      <c r="D95" s="13">
        <v>0.375</v>
      </c>
      <c r="E95" s="15">
        <v>0.85416666666666663</v>
      </c>
      <c r="F95" s="12">
        <v>5</v>
      </c>
      <c r="G95" s="13">
        <v>0.7319444444444444</v>
      </c>
      <c r="H95" s="12" t="s">
        <v>9</v>
      </c>
      <c r="I95" s="12"/>
    </row>
    <row r="96" spans="1:9" x14ac:dyDescent="0.2">
      <c r="A96" s="18">
        <v>46268</v>
      </c>
      <c r="B96" s="14" t="s">
        <v>77</v>
      </c>
      <c r="C96" s="12" t="s">
        <v>78</v>
      </c>
      <c r="D96" s="13">
        <v>0.45833333333333331</v>
      </c>
      <c r="E96" s="13">
        <v>0.89583333333333337</v>
      </c>
      <c r="F96" s="12">
        <v>5</v>
      </c>
      <c r="G96" s="13">
        <v>0.80486111111111114</v>
      </c>
      <c r="H96" s="12" t="s">
        <v>111</v>
      </c>
      <c r="I96" s="12"/>
    </row>
    <row r="97" spans="1:9" x14ac:dyDescent="0.2">
      <c r="A97" s="18">
        <v>46268</v>
      </c>
      <c r="B97" s="14" t="s">
        <v>14</v>
      </c>
      <c r="C97" s="12" t="s">
        <v>21</v>
      </c>
      <c r="D97" s="13">
        <v>0.375</v>
      </c>
      <c r="E97" s="13">
        <v>0.79166666666666663</v>
      </c>
      <c r="F97" s="12">
        <v>6</v>
      </c>
      <c r="G97" s="13">
        <v>0.80694444444444446</v>
      </c>
      <c r="H97" s="12" t="s">
        <v>111</v>
      </c>
      <c r="I97" s="12"/>
    </row>
    <row r="98" spans="1:9" x14ac:dyDescent="0.2">
      <c r="A98" s="18">
        <v>46268</v>
      </c>
      <c r="B98" s="14" t="s">
        <v>15</v>
      </c>
      <c r="C98" s="12" t="s">
        <v>109</v>
      </c>
      <c r="D98" s="13">
        <v>0.54166666666666663</v>
      </c>
      <c r="E98" s="13">
        <v>0.9375</v>
      </c>
      <c r="F98" s="12">
        <v>6</v>
      </c>
      <c r="G98" s="13">
        <v>0.9194444444444444</v>
      </c>
      <c r="H98" s="12" t="s">
        <v>9</v>
      </c>
      <c r="I98" s="12"/>
    </row>
    <row r="99" spans="1:9" x14ac:dyDescent="0.2">
      <c r="A99" s="18">
        <v>46268</v>
      </c>
      <c r="B99" s="14" t="s">
        <v>18</v>
      </c>
      <c r="C99" s="12" t="s">
        <v>20</v>
      </c>
      <c r="D99" s="13">
        <v>0.375</v>
      </c>
      <c r="E99" s="15">
        <v>0.85416666666666663</v>
      </c>
      <c r="F99" s="12">
        <v>6</v>
      </c>
      <c r="G99" s="13">
        <v>0.80208333333333337</v>
      </c>
      <c r="H99" s="12" t="s">
        <v>9</v>
      </c>
      <c r="I99" s="12"/>
    </row>
    <row r="100" spans="1:9" x14ac:dyDescent="0.2">
      <c r="A100" s="18">
        <v>46268</v>
      </c>
      <c r="B100" s="14" t="s">
        <v>77</v>
      </c>
      <c r="C100" s="12" t="s">
        <v>78</v>
      </c>
      <c r="D100" s="13">
        <v>0.45833333333333331</v>
      </c>
      <c r="E100" s="13">
        <v>0.89583333333333337</v>
      </c>
      <c r="F100" s="12">
        <v>6</v>
      </c>
      <c r="G100" s="13">
        <v>0.86458333333333337</v>
      </c>
      <c r="H100" s="12" t="s">
        <v>111</v>
      </c>
      <c r="I100" s="12"/>
    </row>
    <row r="101" spans="1:9" x14ac:dyDescent="0.2">
      <c r="A101" s="18">
        <v>46269</v>
      </c>
      <c r="B101" s="14" t="s">
        <v>14</v>
      </c>
      <c r="C101" s="12" t="s">
        <v>21</v>
      </c>
      <c r="D101" s="13">
        <v>0.375</v>
      </c>
      <c r="E101" s="13">
        <v>0.79166666666666663</v>
      </c>
      <c r="F101" s="12">
        <v>1</v>
      </c>
      <c r="G101" s="13">
        <v>0.50624999999999998</v>
      </c>
      <c r="H101" s="12" t="s">
        <v>9</v>
      </c>
      <c r="I101" s="12"/>
    </row>
    <row r="102" spans="1:9" x14ac:dyDescent="0.2">
      <c r="A102" s="18">
        <v>46269</v>
      </c>
      <c r="B102" s="14" t="s">
        <v>15</v>
      </c>
      <c r="C102" s="12" t="s">
        <v>109</v>
      </c>
      <c r="D102" s="13">
        <v>0.54166666666666663</v>
      </c>
      <c r="E102" s="13">
        <v>0.9375</v>
      </c>
      <c r="F102" s="12">
        <v>1</v>
      </c>
      <c r="G102" s="13">
        <v>0.60555555555555551</v>
      </c>
      <c r="H102" s="12" t="s">
        <v>9</v>
      </c>
      <c r="I102" s="12"/>
    </row>
    <row r="103" spans="1:9" x14ac:dyDescent="0.2">
      <c r="A103" s="18">
        <v>46269</v>
      </c>
      <c r="B103" s="14" t="s">
        <v>16</v>
      </c>
      <c r="C103" s="12" t="s">
        <v>110</v>
      </c>
      <c r="D103" s="13">
        <v>0.45833333333333331</v>
      </c>
      <c r="E103" s="13">
        <v>0.83333333333333337</v>
      </c>
      <c r="F103" s="12">
        <v>1</v>
      </c>
      <c r="G103" s="13">
        <v>0.47986111111111113</v>
      </c>
      <c r="H103" s="12" t="s">
        <v>111</v>
      </c>
      <c r="I103" s="12" t="s">
        <v>144</v>
      </c>
    </row>
    <row r="104" spans="1:9" x14ac:dyDescent="0.2">
      <c r="A104" s="18">
        <v>46269</v>
      </c>
      <c r="B104" s="14" t="s">
        <v>17</v>
      </c>
      <c r="C104" s="12" t="s">
        <v>19</v>
      </c>
      <c r="D104" s="15">
        <v>0.45833333333333331</v>
      </c>
      <c r="E104" s="15">
        <v>0.83333333333333337</v>
      </c>
      <c r="F104" s="12">
        <v>1</v>
      </c>
      <c r="G104" s="13">
        <v>0.50694444444444442</v>
      </c>
      <c r="H104" s="12" t="s">
        <v>9</v>
      </c>
      <c r="I104" s="12"/>
    </row>
    <row r="105" spans="1:9" x14ac:dyDescent="0.2">
      <c r="A105" s="18">
        <v>46269</v>
      </c>
      <c r="B105" s="14" t="s">
        <v>18</v>
      </c>
      <c r="C105" s="12" t="s">
        <v>20</v>
      </c>
      <c r="D105" s="13">
        <v>0.375</v>
      </c>
      <c r="E105" s="15">
        <v>0.85416666666666663</v>
      </c>
      <c r="F105" s="12">
        <v>1</v>
      </c>
      <c r="G105" s="13">
        <v>0.44791666666666669</v>
      </c>
      <c r="H105" s="12" t="s">
        <v>9</v>
      </c>
      <c r="I105" s="12"/>
    </row>
    <row r="106" spans="1:9" x14ac:dyDescent="0.2">
      <c r="A106" s="18">
        <v>46269</v>
      </c>
      <c r="B106" s="14" t="s">
        <v>77</v>
      </c>
      <c r="C106" s="12" t="s">
        <v>78</v>
      </c>
      <c r="D106" s="13">
        <v>0.45833333333333331</v>
      </c>
      <c r="E106" s="13">
        <v>0.89583333333333337</v>
      </c>
      <c r="F106" s="12">
        <v>1</v>
      </c>
      <c r="G106" s="13">
        <v>0.51041666666666663</v>
      </c>
      <c r="H106" s="12"/>
      <c r="I106" s="12" t="s">
        <v>146</v>
      </c>
    </row>
    <row r="107" spans="1:9" x14ac:dyDescent="0.2">
      <c r="A107" s="18">
        <v>46269</v>
      </c>
      <c r="B107" s="14" t="s">
        <v>14</v>
      </c>
      <c r="C107" s="12" t="s">
        <v>21</v>
      </c>
      <c r="D107" s="13">
        <v>0.375</v>
      </c>
      <c r="E107" s="13">
        <v>0.79166666666666663</v>
      </c>
      <c r="F107" s="12">
        <v>2</v>
      </c>
      <c r="G107" s="13">
        <v>0.57013888888888886</v>
      </c>
      <c r="H107" s="12" t="s">
        <v>111</v>
      </c>
      <c r="I107" s="12"/>
    </row>
    <row r="108" spans="1:9" x14ac:dyDescent="0.2">
      <c r="A108" s="18">
        <v>46269</v>
      </c>
      <c r="B108" s="14" t="s">
        <v>15</v>
      </c>
      <c r="C108" s="12" t="s">
        <v>109</v>
      </c>
      <c r="D108" s="13">
        <v>0.54166666666666663</v>
      </c>
      <c r="E108" s="13">
        <v>0.9375</v>
      </c>
      <c r="F108" s="12">
        <v>2</v>
      </c>
      <c r="G108" s="13">
        <v>0.69513888888888886</v>
      </c>
      <c r="H108" s="12" t="s">
        <v>9</v>
      </c>
      <c r="I108" s="12"/>
    </row>
    <row r="109" spans="1:9" x14ac:dyDescent="0.2">
      <c r="A109" s="18">
        <v>46269</v>
      </c>
      <c r="B109" s="14" t="s">
        <v>16</v>
      </c>
      <c r="C109" s="12" t="s">
        <v>110</v>
      </c>
      <c r="D109" s="13">
        <v>0.45833333333333331</v>
      </c>
      <c r="E109" s="13">
        <v>0.83333333333333337</v>
      </c>
      <c r="F109" s="12">
        <v>2</v>
      </c>
      <c r="G109" s="13">
        <v>0.7270833333333333</v>
      </c>
      <c r="H109" s="12" t="s">
        <v>111</v>
      </c>
      <c r="I109" s="12" t="s">
        <v>145</v>
      </c>
    </row>
    <row r="110" spans="1:9" x14ac:dyDescent="0.2">
      <c r="A110" s="18">
        <v>46269</v>
      </c>
      <c r="B110" s="14" t="s">
        <v>17</v>
      </c>
      <c r="C110" s="12" t="s">
        <v>19</v>
      </c>
      <c r="D110" s="15">
        <v>0.45833333333333331</v>
      </c>
      <c r="E110" s="15">
        <v>0.83333333333333337</v>
      </c>
      <c r="F110" s="12">
        <v>2</v>
      </c>
      <c r="G110" s="13">
        <v>0.57152777777777775</v>
      </c>
      <c r="H110" s="12" t="s">
        <v>9</v>
      </c>
      <c r="I110" s="12"/>
    </row>
    <row r="111" spans="1:9" x14ac:dyDescent="0.2">
      <c r="A111" s="18">
        <v>46269</v>
      </c>
      <c r="B111" s="14" t="s">
        <v>18</v>
      </c>
      <c r="C111" s="12" t="s">
        <v>20</v>
      </c>
      <c r="D111" s="13">
        <v>0.375</v>
      </c>
      <c r="E111" s="15">
        <v>0.85416666666666663</v>
      </c>
      <c r="F111" s="12">
        <v>2</v>
      </c>
      <c r="G111" s="13">
        <v>0.59236111111111112</v>
      </c>
      <c r="H111" s="12" t="s">
        <v>9</v>
      </c>
      <c r="I111" s="12"/>
    </row>
    <row r="112" spans="1:9" x14ac:dyDescent="0.2">
      <c r="A112" s="18">
        <v>46269</v>
      </c>
      <c r="B112" s="14" t="s">
        <v>77</v>
      </c>
      <c r="C112" s="12" t="s">
        <v>78</v>
      </c>
      <c r="D112" s="13">
        <v>0.45833333333333331</v>
      </c>
      <c r="E112" s="13">
        <v>0.89583333333333337</v>
      </c>
      <c r="F112" s="12">
        <v>2</v>
      </c>
      <c r="G112" s="13">
        <v>0.56041666666666667</v>
      </c>
      <c r="H112" s="12" t="s">
        <v>111</v>
      </c>
      <c r="I112" s="12"/>
    </row>
    <row r="113" spans="1:9" x14ac:dyDescent="0.2">
      <c r="A113" s="18">
        <v>46269</v>
      </c>
      <c r="B113" s="14" t="s">
        <v>14</v>
      </c>
      <c r="C113" s="12" t="s">
        <v>21</v>
      </c>
      <c r="D113" s="13">
        <v>0.375</v>
      </c>
      <c r="E113" s="13">
        <v>0.79166666666666663</v>
      </c>
      <c r="F113" s="12">
        <v>3</v>
      </c>
      <c r="G113" s="13">
        <v>0.62569444444444444</v>
      </c>
      <c r="H113" s="12" t="s">
        <v>111</v>
      </c>
      <c r="I113" s="12"/>
    </row>
    <row r="114" spans="1:9" x14ac:dyDescent="0.2">
      <c r="A114" s="18">
        <v>46269</v>
      </c>
      <c r="B114" s="14" t="s">
        <v>15</v>
      </c>
      <c r="C114" s="12" t="s">
        <v>109</v>
      </c>
      <c r="D114" s="13">
        <v>0.54166666666666663</v>
      </c>
      <c r="E114" s="13">
        <v>0.9375</v>
      </c>
      <c r="F114" s="12">
        <v>3</v>
      </c>
      <c r="G114" s="13">
        <v>0.79791666666666672</v>
      </c>
      <c r="H114" s="12" t="s">
        <v>9</v>
      </c>
      <c r="I114" s="12"/>
    </row>
    <row r="115" spans="1:9" x14ac:dyDescent="0.2">
      <c r="A115" s="18">
        <v>46269</v>
      </c>
      <c r="B115" s="14" t="s">
        <v>17</v>
      </c>
      <c r="C115" s="12" t="s">
        <v>19</v>
      </c>
      <c r="D115" s="15">
        <v>0.45833333333333331</v>
      </c>
      <c r="E115" s="15">
        <v>0.83333333333333337</v>
      </c>
      <c r="F115" s="12">
        <v>3</v>
      </c>
      <c r="G115" s="13">
        <v>0.69444444444444442</v>
      </c>
      <c r="H115" s="12" t="s">
        <v>9</v>
      </c>
      <c r="I115" s="12"/>
    </row>
    <row r="116" spans="1:9" x14ac:dyDescent="0.2">
      <c r="A116" s="18">
        <v>46269</v>
      </c>
      <c r="B116" s="14" t="s">
        <v>18</v>
      </c>
      <c r="C116" s="12" t="s">
        <v>20</v>
      </c>
      <c r="D116" s="13">
        <v>0.375</v>
      </c>
      <c r="E116" s="15">
        <v>0.85416666666666663</v>
      </c>
      <c r="F116" s="12">
        <v>3</v>
      </c>
      <c r="G116" s="13">
        <v>0.69513888888888886</v>
      </c>
      <c r="H116" s="12" t="s">
        <v>9</v>
      </c>
      <c r="I116" s="12"/>
    </row>
    <row r="117" spans="1:9" x14ac:dyDescent="0.2">
      <c r="A117" s="18">
        <v>46269</v>
      </c>
      <c r="B117" s="14" t="s">
        <v>77</v>
      </c>
      <c r="C117" s="12" t="s">
        <v>78</v>
      </c>
      <c r="D117" s="13">
        <v>0.45833333333333331</v>
      </c>
      <c r="E117" s="13">
        <v>0.89583333333333337</v>
      </c>
      <c r="F117" s="12">
        <v>3</v>
      </c>
      <c r="G117" s="13">
        <v>0.61250000000000004</v>
      </c>
      <c r="H117" s="12" t="s">
        <v>9</v>
      </c>
      <c r="I117" s="12" t="s">
        <v>147</v>
      </c>
    </row>
    <row r="118" spans="1:9" x14ac:dyDescent="0.2">
      <c r="A118" s="18">
        <v>46269</v>
      </c>
      <c r="B118" s="14" t="s">
        <v>14</v>
      </c>
      <c r="C118" s="12" t="s">
        <v>21</v>
      </c>
      <c r="D118" s="13">
        <v>0.375</v>
      </c>
      <c r="E118" s="13">
        <v>0.79166666666666663</v>
      </c>
      <c r="F118" s="12">
        <v>4</v>
      </c>
      <c r="G118" s="13">
        <v>0.6958333333333333</v>
      </c>
      <c r="H118" s="12" t="s">
        <v>111</v>
      </c>
      <c r="I118" s="12"/>
    </row>
    <row r="119" spans="1:9" x14ac:dyDescent="0.2">
      <c r="A119" s="18">
        <v>46269</v>
      </c>
      <c r="B119" s="14" t="s">
        <v>15</v>
      </c>
      <c r="C119" s="12" t="s">
        <v>109</v>
      </c>
      <c r="D119" s="13">
        <v>0.54166666666666663</v>
      </c>
      <c r="E119" s="13">
        <v>0.9375</v>
      </c>
      <c r="F119" s="12">
        <v>4</v>
      </c>
      <c r="G119" s="13">
        <v>0.90902777777777777</v>
      </c>
      <c r="H119" s="12" t="s">
        <v>9</v>
      </c>
      <c r="I119" s="12" t="s">
        <v>143</v>
      </c>
    </row>
    <row r="120" spans="1:9" x14ac:dyDescent="0.2">
      <c r="A120" s="18">
        <v>46269</v>
      </c>
      <c r="B120" s="14" t="s">
        <v>17</v>
      </c>
      <c r="C120" s="12" t="s">
        <v>19</v>
      </c>
      <c r="D120" s="15">
        <v>0.45833333333333331</v>
      </c>
      <c r="E120" s="15">
        <v>0.83333333333333337</v>
      </c>
      <c r="F120" s="12">
        <v>4</v>
      </c>
      <c r="G120" s="13">
        <v>0.75208333333333333</v>
      </c>
      <c r="H120" s="12" t="s">
        <v>9</v>
      </c>
      <c r="I120" s="12"/>
    </row>
    <row r="121" spans="1:9" x14ac:dyDescent="0.2">
      <c r="A121" s="18">
        <v>46269</v>
      </c>
      <c r="B121" s="14" t="s">
        <v>18</v>
      </c>
      <c r="C121" s="12" t="s">
        <v>20</v>
      </c>
      <c r="D121" s="13">
        <v>0.375</v>
      </c>
      <c r="E121" s="15">
        <v>0.85416666666666663</v>
      </c>
      <c r="F121" s="12">
        <v>4</v>
      </c>
      <c r="G121" s="13">
        <v>0.8208333333333333</v>
      </c>
      <c r="H121" s="12" t="s">
        <v>9</v>
      </c>
      <c r="I121" s="12"/>
    </row>
    <row r="122" spans="1:9" x14ac:dyDescent="0.2">
      <c r="A122" s="18">
        <v>46269</v>
      </c>
      <c r="B122" s="14" t="s">
        <v>77</v>
      </c>
      <c r="C122" s="12" t="s">
        <v>78</v>
      </c>
      <c r="D122" s="13">
        <v>0.45833333333333331</v>
      </c>
      <c r="E122" s="13">
        <v>0.89583333333333337</v>
      </c>
      <c r="F122" s="12">
        <v>4</v>
      </c>
      <c r="G122" s="13">
        <v>0.72638888888888886</v>
      </c>
      <c r="H122" s="12" t="s">
        <v>9</v>
      </c>
      <c r="I122" s="12"/>
    </row>
    <row r="123" spans="1:9" x14ac:dyDescent="0.2">
      <c r="A123" s="18">
        <v>46269</v>
      </c>
      <c r="B123" s="14" t="s">
        <v>14</v>
      </c>
      <c r="C123" s="12" t="s">
        <v>21</v>
      </c>
      <c r="D123" s="13">
        <v>0.375</v>
      </c>
      <c r="E123" s="13">
        <v>0.79166666666666663</v>
      </c>
      <c r="F123" s="12">
        <v>5</v>
      </c>
      <c r="G123" s="13">
        <v>0.79722222222222228</v>
      </c>
      <c r="H123" s="12" t="s">
        <v>111</v>
      </c>
      <c r="I123" s="12"/>
    </row>
    <row r="124" spans="1:9" x14ac:dyDescent="0.2">
      <c r="A124" s="18">
        <v>46269</v>
      </c>
      <c r="B124" s="14" t="s">
        <v>17</v>
      </c>
      <c r="C124" s="12" t="s">
        <v>19</v>
      </c>
      <c r="D124" s="15">
        <v>0.45833333333333331</v>
      </c>
      <c r="E124" s="15">
        <v>0.83333333333333337</v>
      </c>
      <c r="F124" s="12">
        <v>5</v>
      </c>
      <c r="G124" s="13">
        <v>0.8208333333333333</v>
      </c>
      <c r="H124" s="12" t="s">
        <v>111</v>
      </c>
      <c r="I124" s="12"/>
    </row>
    <row r="125" spans="1:9" x14ac:dyDescent="0.2">
      <c r="A125" s="21">
        <v>46269</v>
      </c>
      <c r="B125" s="22" t="s">
        <v>77</v>
      </c>
      <c r="C125" s="23" t="s">
        <v>78</v>
      </c>
      <c r="D125" s="24">
        <v>0.45833333333333331</v>
      </c>
      <c r="E125" s="24">
        <v>0.89583333333333337</v>
      </c>
      <c r="F125" s="6">
        <v>5</v>
      </c>
      <c r="G125" s="13">
        <v>0.8208333333333333</v>
      </c>
      <c r="H125" s="12" t="s">
        <v>111</v>
      </c>
      <c r="I125" s="12"/>
    </row>
    <row r="126" spans="1:9" x14ac:dyDescent="0.2">
      <c r="A126" s="25"/>
      <c r="B126" s="26"/>
      <c r="C126" s="27"/>
      <c r="D126" s="28"/>
      <c r="E126" s="29"/>
      <c r="F126" s="19"/>
      <c r="G126" s="9"/>
      <c r="H126" s="9"/>
      <c r="I126" s="9"/>
    </row>
    <row r="127" spans="1:9" x14ac:dyDescent="0.2">
      <c r="A127" s="25"/>
      <c r="B127" s="26"/>
      <c r="C127" s="27"/>
      <c r="D127" s="28"/>
      <c r="E127" s="28"/>
      <c r="F127" s="20"/>
      <c r="G127" s="3"/>
      <c r="H127" s="3"/>
      <c r="I127" s="3"/>
    </row>
    <row r="128" spans="1:9" x14ac:dyDescent="0.2">
      <c r="A128" s="25"/>
      <c r="B128" s="26"/>
      <c r="C128" s="27"/>
      <c r="D128" s="28"/>
      <c r="E128" s="28"/>
      <c r="F128" s="20"/>
      <c r="G128" s="3"/>
      <c r="H128" s="3"/>
      <c r="I128" s="3"/>
    </row>
    <row r="129" spans="1:9" x14ac:dyDescent="0.2">
      <c r="A129" s="25"/>
      <c r="B129" s="26"/>
      <c r="C129" s="27"/>
      <c r="D129" s="28"/>
      <c r="E129" s="28"/>
      <c r="F129" s="20"/>
      <c r="G129" s="3"/>
      <c r="H129" s="3"/>
      <c r="I129" s="3"/>
    </row>
    <row r="130" spans="1:9" x14ac:dyDescent="0.2">
      <c r="A130" s="25"/>
      <c r="B130" s="26"/>
      <c r="C130" s="27"/>
      <c r="D130" s="28"/>
      <c r="E130" s="29"/>
      <c r="F130" s="20"/>
      <c r="G130" s="3"/>
      <c r="H130" s="3"/>
      <c r="I130" s="3"/>
    </row>
    <row r="131" spans="1:9" x14ac:dyDescent="0.2">
      <c r="A131" s="25"/>
      <c r="B131" s="26"/>
      <c r="C131" s="27"/>
      <c r="D131" s="28"/>
      <c r="E131" s="28"/>
      <c r="F131" s="20"/>
      <c r="G131" s="3"/>
      <c r="H131" s="3"/>
      <c r="I131" s="3"/>
    </row>
    <row r="132" spans="1:9" x14ac:dyDescent="0.2">
      <c r="A132" s="9"/>
      <c r="B132" s="9"/>
      <c r="C132" s="9"/>
      <c r="D132" s="9"/>
      <c r="E132" s="9"/>
      <c r="F132" s="3"/>
      <c r="G132" s="3"/>
      <c r="H132" s="3"/>
      <c r="I132" s="3"/>
    </row>
    <row r="133" spans="1:9" x14ac:dyDescent="0.2">
      <c r="A133" s="3"/>
      <c r="B133" s="3"/>
      <c r="C133" s="3"/>
      <c r="D133" s="3"/>
      <c r="E133" s="3"/>
      <c r="F133" s="3"/>
      <c r="G133" s="3"/>
      <c r="H133" s="3"/>
      <c r="I133" s="3"/>
    </row>
    <row r="134" spans="1:9" x14ac:dyDescent="0.2">
      <c r="A134" s="3"/>
      <c r="B134" s="3"/>
      <c r="C134" s="3"/>
      <c r="D134" s="3"/>
      <c r="E134" s="3"/>
      <c r="F134" s="3"/>
      <c r="G134" s="3"/>
      <c r="H134" s="3"/>
      <c r="I134" s="3"/>
    </row>
    <row r="135" spans="1:9" x14ac:dyDescent="0.2">
      <c r="A135" s="3"/>
      <c r="B135" s="3"/>
      <c r="C135" s="3"/>
      <c r="D135" s="3"/>
      <c r="E135" s="3"/>
      <c r="F135" s="3"/>
      <c r="G135" s="3"/>
      <c r="H135" s="3"/>
      <c r="I135" s="3"/>
    </row>
    <row r="136" spans="1:9" x14ac:dyDescent="0.2">
      <c r="A136" s="3"/>
      <c r="B136" s="3"/>
      <c r="C136" s="3"/>
      <c r="D136" s="3"/>
      <c r="E136" s="3"/>
      <c r="F136" s="3"/>
      <c r="G136" s="3"/>
      <c r="H136" s="3"/>
      <c r="I136" s="3"/>
    </row>
    <row r="137" spans="1:9" x14ac:dyDescent="0.2">
      <c r="A137" s="3"/>
      <c r="B137" s="3"/>
      <c r="C137" s="3"/>
      <c r="D137" s="3"/>
      <c r="E137" s="3"/>
      <c r="F137" s="3"/>
      <c r="G137" s="3"/>
      <c r="H137" s="3"/>
      <c r="I137" s="3"/>
    </row>
    <row r="138" spans="1:9" x14ac:dyDescent="0.2">
      <c r="A138" s="3"/>
      <c r="B138" s="3"/>
      <c r="C138" s="3"/>
      <c r="D138" s="3"/>
      <c r="E138" s="3"/>
      <c r="F138" s="3"/>
      <c r="G138" s="3"/>
      <c r="H138" s="3"/>
      <c r="I138" s="3"/>
    </row>
    <row r="139" spans="1:9" x14ac:dyDescent="0.2">
      <c r="A139" s="3"/>
      <c r="B139" s="3"/>
      <c r="C139" s="3"/>
      <c r="D139" s="3"/>
      <c r="E139" s="3"/>
      <c r="F139" s="3"/>
      <c r="G139" s="3"/>
      <c r="H139" s="3"/>
      <c r="I139" s="3"/>
    </row>
    <row r="140" spans="1:9" x14ac:dyDescent="0.2">
      <c r="A140" s="3"/>
      <c r="B140" s="3"/>
      <c r="C140" s="3"/>
      <c r="D140" s="3"/>
      <c r="E140" s="3"/>
      <c r="F140" s="3"/>
      <c r="G140" s="3"/>
      <c r="H140" s="3"/>
      <c r="I140" s="3"/>
    </row>
    <row r="141" spans="1:9" x14ac:dyDescent="0.2">
      <c r="A141" s="3"/>
      <c r="B141" s="3"/>
      <c r="C141" s="3"/>
      <c r="D141" s="3"/>
      <c r="E141" s="3"/>
      <c r="F141" s="3"/>
      <c r="G141" s="3"/>
      <c r="H141" s="3"/>
      <c r="I141" s="3"/>
    </row>
    <row r="142" spans="1:9" x14ac:dyDescent="0.2">
      <c r="A142" s="3"/>
      <c r="B142" s="3"/>
      <c r="C142" s="3"/>
      <c r="D142" s="3"/>
      <c r="E142" s="3"/>
      <c r="F142" s="3"/>
      <c r="G142" s="3"/>
      <c r="H142" s="3"/>
      <c r="I142" s="3"/>
    </row>
    <row r="143" spans="1:9" x14ac:dyDescent="0.2">
      <c r="A143" s="3"/>
      <c r="B143" s="3"/>
      <c r="C143" s="3"/>
      <c r="D143" s="3"/>
      <c r="E143" s="3"/>
      <c r="F143" s="3"/>
      <c r="G143" s="3"/>
      <c r="H143" s="3"/>
      <c r="I143" s="3"/>
    </row>
    <row r="144" spans="1:9" x14ac:dyDescent="0.2">
      <c r="A144" s="3"/>
      <c r="B144" s="3"/>
      <c r="C144" s="3"/>
      <c r="D144" s="3"/>
      <c r="E144" s="3"/>
      <c r="F144" s="3"/>
      <c r="G144" s="3"/>
      <c r="H144" s="3"/>
      <c r="I144" s="3"/>
    </row>
    <row r="145" spans="1:9" x14ac:dyDescent="0.2">
      <c r="A145" s="3"/>
      <c r="B145" s="3"/>
      <c r="C145" s="3"/>
      <c r="D145" s="3"/>
      <c r="E145" s="3"/>
      <c r="F145" s="3"/>
      <c r="G145" s="3"/>
      <c r="H145" s="3"/>
      <c r="I145" s="3"/>
    </row>
    <row r="146" spans="1:9" x14ac:dyDescent="0.2">
      <c r="A146" s="3"/>
      <c r="B146" s="3"/>
      <c r="C146" s="3"/>
      <c r="D146" s="3"/>
      <c r="E146" s="3"/>
      <c r="F146" s="3"/>
      <c r="G146" s="3"/>
      <c r="H146" s="3"/>
      <c r="I146" s="3"/>
    </row>
    <row r="147" spans="1:9" x14ac:dyDescent="0.2">
      <c r="A147" s="3"/>
      <c r="B147" s="3"/>
      <c r="C147" s="3"/>
      <c r="D147" s="3"/>
      <c r="E147" s="3"/>
      <c r="F147" s="3"/>
      <c r="G147" s="3"/>
      <c r="H147" s="3"/>
      <c r="I147" s="3"/>
    </row>
    <row r="148" spans="1:9" x14ac:dyDescent="0.2">
      <c r="A148" s="3"/>
      <c r="B148" s="3"/>
      <c r="C148" s="3"/>
      <c r="D148" s="3"/>
      <c r="E148" s="3"/>
      <c r="F148" s="3"/>
      <c r="G148" s="3"/>
      <c r="H148" s="3"/>
      <c r="I148" s="3"/>
    </row>
    <row r="149" spans="1:9" x14ac:dyDescent="0.2">
      <c r="A149" s="3"/>
      <c r="B149" s="3"/>
      <c r="C149" s="3"/>
      <c r="D149" s="3"/>
      <c r="E149" s="3"/>
      <c r="F149" s="3"/>
      <c r="G149" s="3"/>
      <c r="H149" s="3"/>
      <c r="I149" s="3"/>
    </row>
    <row r="150" spans="1:9" x14ac:dyDescent="0.2">
      <c r="A150" s="3"/>
      <c r="B150" s="3"/>
      <c r="C150" s="3"/>
      <c r="D150" s="3"/>
      <c r="E150" s="3"/>
      <c r="F150" s="3"/>
      <c r="G150" s="3"/>
      <c r="H150" s="3"/>
      <c r="I150" s="3"/>
    </row>
    <row r="151" spans="1:9" x14ac:dyDescent="0.2">
      <c r="A151" s="3"/>
      <c r="B151" s="3"/>
      <c r="C151" s="3"/>
      <c r="D151" s="3"/>
      <c r="E151" s="3"/>
      <c r="F151" s="3"/>
      <c r="G151" s="3"/>
      <c r="H151" s="3"/>
      <c r="I151" s="3"/>
    </row>
    <row r="152" spans="1:9" x14ac:dyDescent="0.2">
      <c r="A152" s="3"/>
      <c r="B152" s="3"/>
      <c r="C152" s="3"/>
      <c r="D152" s="3"/>
      <c r="E152" s="3"/>
      <c r="F152" s="3"/>
      <c r="G152" s="3"/>
      <c r="H152" s="3"/>
      <c r="I152" s="3"/>
    </row>
    <row r="153" spans="1:9" x14ac:dyDescent="0.2">
      <c r="A153" s="3"/>
      <c r="B153" s="3"/>
      <c r="C153" s="3"/>
      <c r="D153" s="3"/>
      <c r="E153" s="3"/>
      <c r="F153" s="3"/>
      <c r="G153" s="3"/>
      <c r="H153" s="3"/>
      <c r="I153" s="3"/>
    </row>
    <row r="154" spans="1:9" x14ac:dyDescent="0.2">
      <c r="A154" s="3"/>
      <c r="B154" s="3"/>
      <c r="C154" s="3"/>
      <c r="D154" s="3"/>
      <c r="E154" s="3"/>
      <c r="F154" s="3"/>
      <c r="G154" s="3"/>
      <c r="H154" s="3"/>
      <c r="I154" s="3"/>
    </row>
    <row r="155" spans="1:9" x14ac:dyDescent="0.2">
      <c r="A155" s="3"/>
      <c r="B155" s="3"/>
      <c r="C155" s="3"/>
      <c r="D155" s="3"/>
      <c r="E155" s="3"/>
      <c r="F155" s="3"/>
      <c r="G155" s="3"/>
      <c r="H155" s="3"/>
      <c r="I155" s="3"/>
    </row>
    <row r="156" spans="1:9" x14ac:dyDescent="0.2">
      <c r="A156" s="3"/>
      <c r="B156" s="3"/>
      <c r="C156" s="3"/>
      <c r="D156" s="3"/>
      <c r="E156" s="3"/>
      <c r="F156" s="3"/>
      <c r="G156" s="3"/>
      <c r="H156" s="3"/>
      <c r="I156" s="3"/>
    </row>
    <row r="157" spans="1:9" x14ac:dyDescent="0.2">
      <c r="A157" s="3"/>
      <c r="B157" s="3"/>
      <c r="C157" s="3"/>
      <c r="D157" s="3"/>
      <c r="E157" s="3"/>
      <c r="F157" s="3"/>
      <c r="G157" s="3"/>
      <c r="H157" s="3"/>
      <c r="I157" s="3"/>
    </row>
    <row r="158" spans="1:9" x14ac:dyDescent="0.2">
      <c r="A158" s="3"/>
      <c r="B158" s="3"/>
      <c r="C158" s="3"/>
      <c r="D158" s="3"/>
      <c r="E158" s="3"/>
      <c r="F158" s="3"/>
      <c r="G158" s="3"/>
      <c r="H158" s="3"/>
      <c r="I158" s="3"/>
    </row>
    <row r="159" spans="1:9" x14ac:dyDescent="0.2">
      <c r="A159" s="3"/>
      <c r="B159" s="3"/>
      <c r="C159" s="3"/>
      <c r="D159" s="3"/>
      <c r="E159" s="3"/>
      <c r="F159" s="3"/>
      <c r="G159" s="3"/>
      <c r="H159" s="3"/>
      <c r="I159" s="3"/>
    </row>
    <row r="160" spans="1:9" x14ac:dyDescent="0.2">
      <c r="A160" s="3"/>
      <c r="B160" s="3"/>
      <c r="C160" s="3"/>
      <c r="D160" s="3"/>
      <c r="E160" s="3"/>
      <c r="F160" s="3"/>
      <c r="G160" s="3"/>
      <c r="H160" s="3"/>
      <c r="I160" s="3"/>
    </row>
    <row r="161" spans="1:9" x14ac:dyDescent="0.2">
      <c r="A161" s="3"/>
      <c r="B161" s="3"/>
      <c r="C161" s="3"/>
      <c r="D161" s="3"/>
      <c r="E161" s="3"/>
      <c r="F161" s="3"/>
      <c r="G161" s="3"/>
      <c r="H161" s="3"/>
      <c r="I161" s="3"/>
    </row>
    <row r="162" spans="1:9" x14ac:dyDescent="0.2">
      <c r="A162" s="3"/>
      <c r="B162" s="3"/>
      <c r="C162" s="3"/>
      <c r="D162" s="3"/>
      <c r="E162" s="3"/>
      <c r="F162" s="3"/>
      <c r="G162" s="3"/>
      <c r="H162" s="3"/>
      <c r="I162" s="3"/>
    </row>
    <row r="163" spans="1:9" x14ac:dyDescent="0.2">
      <c r="A163" s="3"/>
      <c r="B163" s="3"/>
      <c r="C163" s="3"/>
      <c r="D163" s="3"/>
      <c r="E163" s="3"/>
      <c r="F163" s="3"/>
      <c r="G163" s="3"/>
      <c r="H163" s="3"/>
      <c r="I163" s="3"/>
    </row>
    <row r="164" spans="1:9" x14ac:dyDescent="0.2">
      <c r="A164" s="3"/>
      <c r="B164" s="3"/>
      <c r="C164" s="3"/>
      <c r="D164" s="3"/>
      <c r="E164" s="3"/>
      <c r="F164" s="3"/>
      <c r="G164" s="3"/>
      <c r="H164" s="3"/>
      <c r="I164" s="3"/>
    </row>
    <row r="165" spans="1:9" x14ac:dyDescent="0.2">
      <c r="A165" s="3"/>
      <c r="B165" s="3"/>
      <c r="C165" s="3"/>
      <c r="D165" s="3"/>
      <c r="E165" s="3"/>
      <c r="F165" s="3"/>
      <c r="G165" s="3"/>
      <c r="H165" s="3"/>
      <c r="I165" s="3"/>
    </row>
    <row r="166" spans="1:9" x14ac:dyDescent="0.2">
      <c r="A166" s="3"/>
      <c r="B166" s="3"/>
      <c r="C166" s="3"/>
      <c r="D166" s="3"/>
      <c r="E166" s="3"/>
      <c r="F166" s="3"/>
      <c r="G166" s="3"/>
      <c r="H166" s="3"/>
      <c r="I166" s="3"/>
    </row>
    <row r="167" spans="1:9" x14ac:dyDescent="0.2">
      <c r="A167" s="3"/>
      <c r="B167" s="3"/>
      <c r="C167" s="3"/>
      <c r="D167" s="3"/>
      <c r="E167" s="3"/>
      <c r="F167" s="3"/>
      <c r="G167" s="3"/>
      <c r="H167" s="3"/>
      <c r="I167" s="3"/>
    </row>
    <row r="168" spans="1:9" x14ac:dyDescent="0.2">
      <c r="A168" s="3"/>
      <c r="B168" s="3"/>
      <c r="C168" s="3"/>
      <c r="D168" s="3"/>
      <c r="E168" s="3"/>
      <c r="F168" s="3"/>
      <c r="G168" s="3"/>
      <c r="H168" s="3"/>
      <c r="I168" s="3"/>
    </row>
    <row r="169" spans="1:9" x14ac:dyDescent="0.2">
      <c r="A169" s="3"/>
      <c r="B169" s="3"/>
      <c r="C169" s="3"/>
      <c r="D169" s="3"/>
      <c r="E169" s="3"/>
      <c r="F169" s="3"/>
      <c r="G169" s="3"/>
      <c r="H169" s="3"/>
      <c r="I169" s="3"/>
    </row>
    <row r="170" spans="1:9" x14ac:dyDescent="0.2">
      <c r="A170" s="3"/>
      <c r="B170" s="3"/>
      <c r="C170" s="3"/>
      <c r="D170" s="3"/>
      <c r="E170" s="3"/>
      <c r="F170" s="3"/>
      <c r="G170" s="3"/>
      <c r="H170" s="3"/>
      <c r="I170" s="3"/>
    </row>
    <row r="171" spans="1:9" x14ac:dyDescent="0.2">
      <c r="A171" s="3"/>
      <c r="B171" s="3"/>
      <c r="C171" s="3"/>
      <c r="D171" s="3"/>
      <c r="E171" s="3"/>
      <c r="F171" s="3"/>
      <c r="G171" s="3"/>
      <c r="H171" s="3"/>
      <c r="I171" s="3"/>
    </row>
    <row r="172" spans="1:9" x14ac:dyDescent="0.2">
      <c r="A172" s="3"/>
      <c r="B172" s="3"/>
      <c r="C172" s="3"/>
      <c r="D172" s="3"/>
      <c r="E172" s="3"/>
      <c r="F172" s="3"/>
      <c r="G172" s="3"/>
      <c r="H172" s="3"/>
      <c r="I172" s="3"/>
    </row>
    <row r="173" spans="1:9" x14ac:dyDescent="0.2">
      <c r="A173" s="3"/>
      <c r="B173" s="3"/>
      <c r="C173" s="3"/>
      <c r="D173" s="3"/>
      <c r="E173" s="3"/>
      <c r="F173" s="3"/>
      <c r="G173" s="3"/>
      <c r="H173" s="3"/>
      <c r="I173" s="3"/>
    </row>
    <row r="174" spans="1:9" x14ac:dyDescent="0.2">
      <c r="A174" s="3"/>
      <c r="B174" s="3"/>
      <c r="C174" s="3"/>
      <c r="D174" s="3"/>
      <c r="E174" s="3"/>
      <c r="F174" s="3"/>
      <c r="G174" s="3"/>
      <c r="H174" s="3"/>
      <c r="I174" s="3"/>
    </row>
    <row r="175" spans="1:9" x14ac:dyDescent="0.2">
      <c r="A175" s="3"/>
      <c r="B175" s="3"/>
      <c r="C175" s="3"/>
      <c r="D175" s="3"/>
      <c r="E175" s="3"/>
      <c r="F175" s="3"/>
      <c r="G175" s="3"/>
      <c r="H175" s="3"/>
      <c r="I175" s="3"/>
    </row>
    <row r="176" spans="1:9" x14ac:dyDescent="0.2">
      <c r="A176" s="3"/>
      <c r="B176" s="3"/>
      <c r="C176" s="3"/>
      <c r="D176" s="3"/>
      <c r="E176" s="3"/>
      <c r="F176" s="3"/>
      <c r="G176" s="3"/>
      <c r="H176" s="3"/>
      <c r="I176" s="3"/>
    </row>
    <row r="177" spans="1:9" x14ac:dyDescent="0.2">
      <c r="A177" s="3"/>
      <c r="B177" s="3"/>
      <c r="C177" s="3"/>
      <c r="D177" s="3"/>
      <c r="E177" s="3"/>
      <c r="F177" s="3"/>
      <c r="G177" s="3"/>
      <c r="H177" s="3"/>
      <c r="I177" s="3"/>
    </row>
    <row r="178" spans="1:9" x14ac:dyDescent="0.2">
      <c r="A178" s="3"/>
      <c r="B178" s="3"/>
      <c r="C178" s="3"/>
      <c r="D178" s="3"/>
      <c r="E178" s="3"/>
      <c r="F178" s="3"/>
      <c r="G178" s="3"/>
      <c r="H178" s="3"/>
      <c r="I178" s="3"/>
    </row>
    <row r="179" spans="1:9" x14ac:dyDescent="0.2">
      <c r="A179" s="3"/>
      <c r="B179" s="3"/>
      <c r="C179" s="3"/>
      <c r="D179" s="3"/>
      <c r="E179" s="3"/>
      <c r="F179" s="3"/>
      <c r="G179" s="3"/>
      <c r="H179" s="3"/>
      <c r="I179" s="3"/>
    </row>
    <row r="180" spans="1:9" x14ac:dyDescent="0.2">
      <c r="A180" s="3"/>
      <c r="B180" s="3"/>
      <c r="C180" s="3"/>
      <c r="D180" s="3"/>
      <c r="E180" s="3"/>
      <c r="F180" s="3"/>
      <c r="G180" s="3"/>
      <c r="H180" s="3"/>
      <c r="I180" s="3"/>
    </row>
    <row r="181" spans="1:9" x14ac:dyDescent="0.2">
      <c r="A181" s="3"/>
      <c r="B181" s="3"/>
      <c r="C181" s="3"/>
      <c r="D181" s="3"/>
      <c r="E181" s="3"/>
      <c r="F181" s="3"/>
      <c r="G181" s="3"/>
      <c r="H181" s="3"/>
      <c r="I181" s="3"/>
    </row>
    <row r="182" spans="1:9" x14ac:dyDescent="0.2">
      <c r="A182" s="3"/>
      <c r="B182" s="3"/>
      <c r="C182" s="3"/>
      <c r="D182" s="3"/>
      <c r="E182" s="3"/>
      <c r="F182" s="3"/>
      <c r="G182" s="3"/>
      <c r="H182" s="3"/>
      <c r="I182" s="3"/>
    </row>
    <row r="183" spans="1:9" x14ac:dyDescent="0.2">
      <c r="A183" s="3"/>
      <c r="B183" s="3"/>
      <c r="C183" s="3"/>
      <c r="D183" s="3"/>
      <c r="E183" s="3"/>
      <c r="F183" s="3"/>
      <c r="G183" s="3"/>
      <c r="H183" s="3"/>
      <c r="I183" s="3"/>
    </row>
    <row r="184" spans="1:9" x14ac:dyDescent="0.2">
      <c r="A184" s="3"/>
      <c r="B184" s="3"/>
      <c r="C184" s="3"/>
      <c r="D184" s="3"/>
      <c r="E184" s="3"/>
      <c r="F184" s="3"/>
      <c r="G184" s="3"/>
      <c r="H184" s="3"/>
      <c r="I184" s="3"/>
    </row>
    <row r="185" spans="1:9" x14ac:dyDescent="0.2">
      <c r="A185" s="3"/>
      <c r="B185" s="3"/>
      <c r="C185" s="3"/>
      <c r="D185" s="3"/>
      <c r="E185" s="3"/>
      <c r="F185" s="3"/>
      <c r="G185" s="3"/>
      <c r="H185" s="3"/>
      <c r="I185" s="3"/>
    </row>
    <row r="186" spans="1:9" x14ac:dyDescent="0.2">
      <c r="A186" s="3"/>
      <c r="B186" s="3"/>
      <c r="C186" s="3"/>
      <c r="D186" s="3"/>
      <c r="E186" s="3"/>
      <c r="F186" s="3"/>
      <c r="G186" s="3"/>
      <c r="H186" s="3"/>
      <c r="I186" s="3"/>
    </row>
    <row r="187" spans="1:9" x14ac:dyDescent="0.2">
      <c r="A187" s="3"/>
      <c r="B187" s="3"/>
      <c r="C187" s="3"/>
      <c r="D187" s="3"/>
      <c r="E187" s="3"/>
      <c r="F187" s="3"/>
      <c r="G187" s="3"/>
      <c r="H187" s="3"/>
      <c r="I187" s="3"/>
    </row>
    <row r="188" spans="1:9" x14ac:dyDescent="0.2">
      <c r="A188" s="3"/>
      <c r="B188" s="3"/>
      <c r="C188" s="3"/>
      <c r="D188" s="3"/>
      <c r="E188" s="3"/>
      <c r="F188" s="3"/>
      <c r="G188" s="3"/>
      <c r="H188" s="3"/>
      <c r="I188" s="3"/>
    </row>
    <row r="189" spans="1:9" x14ac:dyDescent="0.2">
      <c r="A189" s="3"/>
      <c r="B189" s="3"/>
      <c r="C189" s="3"/>
      <c r="D189" s="3"/>
      <c r="E189" s="3"/>
      <c r="F189" s="3"/>
      <c r="G189" s="3"/>
      <c r="H189" s="3"/>
      <c r="I189" s="3"/>
    </row>
    <row r="190" spans="1:9" x14ac:dyDescent="0.2">
      <c r="A190" s="3"/>
      <c r="B190" s="3"/>
      <c r="C190" s="3"/>
      <c r="D190" s="3"/>
      <c r="E190" s="3"/>
      <c r="F190" s="3"/>
      <c r="G190" s="3"/>
      <c r="H190" s="3"/>
      <c r="I190" s="3"/>
    </row>
    <row r="191" spans="1:9" x14ac:dyDescent="0.2">
      <c r="A191" s="3"/>
      <c r="B191" s="3"/>
      <c r="C191" s="3"/>
      <c r="D191" s="3"/>
      <c r="E191" s="3"/>
      <c r="F191" s="3"/>
      <c r="G191" s="3"/>
      <c r="H191" s="3"/>
      <c r="I191" s="3"/>
    </row>
    <row r="192" spans="1:9" x14ac:dyDescent="0.2">
      <c r="A192" s="3"/>
      <c r="B192" s="3"/>
      <c r="C192" s="3"/>
      <c r="D192" s="3"/>
      <c r="E192" s="3"/>
      <c r="F192" s="3"/>
      <c r="G192" s="3"/>
      <c r="H192" s="3"/>
      <c r="I192" s="3"/>
    </row>
  </sheetData>
  <mergeCells count="1">
    <mergeCell ref="K1:M1"/>
  </mergeCells>
  <dataValidations count="2">
    <dataValidation type="list" allowBlank="1" sqref="H2:H74 H76:H193" xr:uid="{00000000-0002-0000-0000-000000000000}">
      <formula1>"Y,N"</formula1>
      <formula2>0</formula2>
    </dataValidation>
    <dataValidation type="list" allowBlank="1" sqref="F126:F193 F2:F124" xr:uid="{00000000-0002-0000-0000-000002000000}">
      <formula1>"1,2,3,4"</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zoomScaleNormal="100" workbookViewId="0">
      <pane ySplit="1" topLeftCell="A2" activePane="bottomLeft" state="frozen"/>
      <selection pane="bottomLeft" activeCell="E26" sqref="E26"/>
    </sheetView>
  </sheetViews>
  <sheetFormatPr baseColWidth="10" defaultColWidth="8.6640625" defaultRowHeight="15" x14ac:dyDescent="0.2"/>
  <cols>
    <col min="1" max="1" width="30.6640625" customWidth="1"/>
    <col min="2" max="2" width="39.6640625" customWidth="1"/>
    <col min="3" max="3" width="26.1640625" customWidth="1"/>
    <col min="4" max="4" width="31.6640625" customWidth="1"/>
    <col min="5" max="5" width="38.5" customWidth="1"/>
    <col min="6" max="6" width="74.5" customWidth="1"/>
    <col min="7" max="7" width="55" customWidth="1"/>
  </cols>
  <sheetData>
    <row r="1" spans="1:9" ht="31.5" customHeight="1" x14ac:dyDescent="0.2">
      <c r="A1" s="30" t="s">
        <v>0</v>
      </c>
      <c r="B1" s="30" t="s">
        <v>1</v>
      </c>
      <c r="C1" s="30" t="s">
        <v>10</v>
      </c>
      <c r="D1" s="30" t="s">
        <v>11</v>
      </c>
      <c r="E1" s="30" t="s">
        <v>12</v>
      </c>
      <c r="F1" s="30" t="s">
        <v>148</v>
      </c>
      <c r="G1" s="2"/>
    </row>
    <row r="2" spans="1:9" ht="22.25" customHeight="1" x14ac:dyDescent="0.2">
      <c r="A2" s="32">
        <v>46266</v>
      </c>
      <c r="B2" s="14" t="s">
        <v>14</v>
      </c>
      <c r="C2" s="12">
        <f>IF(OR(A2="",B2=""),"",COUNTIFS('Nudge Log'!$A$3:$A$193,A2,'Nudge Log'!$B$3:$B$193,B2))</f>
        <v>4</v>
      </c>
      <c r="D2" s="12">
        <v>1</v>
      </c>
      <c r="E2" s="33">
        <f t="shared" ref="E2:E41" si="0">IF(OR(C2="",C2=0),"",D2/C2)</f>
        <v>0.25</v>
      </c>
      <c r="F2" s="6"/>
      <c r="G2" s="37"/>
      <c r="H2" s="37"/>
      <c r="I2" s="37"/>
    </row>
    <row r="3" spans="1:9" ht="15" customHeight="1" x14ac:dyDescent="0.2">
      <c r="A3" s="32">
        <v>46266</v>
      </c>
      <c r="B3" s="14" t="s">
        <v>15</v>
      </c>
      <c r="C3" s="12">
        <f>IF(OR(A3="",B3=""),"",COUNTIFS('Nudge Log'!$A$3:$A$193,A3,'Nudge Log'!$B$3:$B$193,B3))</f>
        <v>6</v>
      </c>
      <c r="D3" s="12">
        <f>IF(OR(A3="",B3=""),"",COUNTIFS('Nudge Log'!$A$3:$A$193,A3,'Nudge Log'!$B$3:$B$193,B3,'Nudge Log'!$H$3:$H$193,"Y"))</f>
        <v>6</v>
      </c>
      <c r="E3" s="33">
        <f t="shared" si="0"/>
        <v>1</v>
      </c>
      <c r="F3" s="6"/>
      <c r="G3" s="37"/>
      <c r="H3" s="37"/>
      <c r="I3" s="37"/>
    </row>
    <row r="4" spans="1:9" ht="15" customHeight="1" x14ac:dyDescent="0.2">
      <c r="A4" s="32">
        <v>46266</v>
      </c>
      <c r="B4" s="14" t="s">
        <v>16</v>
      </c>
      <c r="C4" s="12">
        <f>IF(OR(A4="",B4=""),"",COUNTIFS('Nudge Log'!$A$3:$A$193,A4,'Nudge Log'!$B$3:$B$193,B4))</f>
        <v>5</v>
      </c>
      <c r="D4" s="12">
        <f>IF(OR(A4="",B4=""),"",COUNTIFS('Nudge Log'!$A$3:$A$193,A4,'Nudge Log'!$B$3:$B$193,B4,'Nudge Log'!$H$3:$H$193,"Y"))</f>
        <v>4</v>
      </c>
      <c r="E4" s="33">
        <f t="shared" si="0"/>
        <v>0.8</v>
      </c>
      <c r="F4" s="6"/>
      <c r="G4" s="37"/>
      <c r="H4" s="37"/>
      <c r="I4" s="37"/>
    </row>
    <row r="5" spans="1:9" x14ac:dyDescent="0.2">
      <c r="A5" s="32">
        <v>46266</v>
      </c>
      <c r="B5" s="14" t="s">
        <v>17</v>
      </c>
      <c r="C5" s="12">
        <f>IF(OR(A5="",B5=""),"",COUNTIFS('Nudge Log'!$A$3:$A$193,A5,'Nudge Log'!$B$3:$B$193,B5))</f>
        <v>6</v>
      </c>
      <c r="D5" s="12">
        <f>IF(OR(A5="",B5=""),"",COUNTIFS('Nudge Log'!$A$3:$A$193,A5,'Nudge Log'!$B$3:$B$193,B5,'Nudge Log'!$H$3:$H$193,"Y"))</f>
        <v>6</v>
      </c>
      <c r="E5" s="33">
        <f t="shared" si="0"/>
        <v>1</v>
      </c>
      <c r="F5" s="6"/>
    </row>
    <row r="6" spans="1:9" x14ac:dyDescent="0.2">
      <c r="A6" s="32">
        <v>46266</v>
      </c>
      <c r="B6" s="14" t="s">
        <v>18</v>
      </c>
      <c r="C6" s="12">
        <f>IF(OR(A6="",B6=""),"",COUNTIFS('Nudge Log'!$A$3:$A$193,A6,'Nudge Log'!$B$3:$B$193,B6))</f>
        <v>6</v>
      </c>
      <c r="D6" s="12">
        <f>IF(OR(A6="",B6=""),"",COUNTIFS('Nudge Log'!$A$3:$A$193,A6,'Nudge Log'!$B$3:$B$193,B6,'Nudge Log'!$H$3:$H$193,"Y"))</f>
        <v>5</v>
      </c>
      <c r="E6" s="33">
        <f t="shared" si="0"/>
        <v>0.83333333333333337</v>
      </c>
      <c r="F6" s="6"/>
    </row>
    <row r="7" spans="1:9" x14ac:dyDescent="0.2">
      <c r="A7" s="32">
        <v>46266</v>
      </c>
      <c r="B7" s="14" t="s">
        <v>77</v>
      </c>
      <c r="C7" s="12">
        <f>IF(OR(A7="",B7=""),"",COUNTIFS('Nudge Log'!$A$3:$A$193,A7,'Nudge Log'!$B$3:$B$193,B7))</f>
        <v>6</v>
      </c>
      <c r="D7" s="12">
        <f>IF(OR(A7="",B7=""),"",COUNTIFS('Nudge Log'!$A$3:$A$193,A7,'Nudge Log'!$B$3:$B$193,B7,'Nudge Log'!$H$3:$H$193,"Y"))</f>
        <v>3</v>
      </c>
      <c r="E7" s="33">
        <f t="shared" si="0"/>
        <v>0.5</v>
      </c>
      <c r="F7" s="6"/>
    </row>
    <row r="8" spans="1:9" x14ac:dyDescent="0.2">
      <c r="A8" s="32">
        <v>46267</v>
      </c>
      <c r="B8" s="14" t="s">
        <v>14</v>
      </c>
      <c r="C8" s="12">
        <v>6</v>
      </c>
      <c r="D8" s="12">
        <v>2</v>
      </c>
      <c r="E8" s="33">
        <f t="shared" si="0"/>
        <v>0.33333333333333331</v>
      </c>
      <c r="F8" s="6" t="s">
        <v>149</v>
      </c>
    </row>
    <row r="9" spans="1:9" x14ac:dyDescent="0.2">
      <c r="A9" s="32">
        <v>46267</v>
      </c>
      <c r="B9" s="14" t="s">
        <v>15</v>
      </c>
      <c r="C9" s="12">
        <f>IF(OR(A8="",B9=""),"",COUNTIFS('Nudge Log'!$A$3:$A$193,A8,'Nudge Log'!$B$3:$B$193,B9))</f>
        <v>6</v>
      </c>
      <c r="D9" s="12">
        <f>IF(OR(A8="",B9=""),"",COUNTIFS('Nudge Log'!$A$3:$A$193,A8,'Nudge Log'!$B$3:$B$193,B9,'Nudge Log'!$H$3:$H$193,"Y"))</f>
        <v>5</v>
      </c>
      <c r="E9" s="33">
        <f t="shared" si="0"/>
        <v>0.83333333333333337</v>
      </c>
      <c r="F9" s="6"/>
    </row>
    <row r="10" spans="1:9" x14ac:dyDescent="0.2">
      <c r="A10" s="32">
        <v>46267</v>
      </c>
      <c r="B10" s="14" t="s">
        <v>16</v>
      </c>
      <c r="C10" s="12">
        <f>IF(OR(A10="",B10=""),"",COUNTIFS('Nudge Log'!$A$3:$A$193,A10,'Nudge Log'!$B$3:$B$193,B10))</f>
        <v>5</v>
      </c>
      <c r="D10" s="12">
        <f>IF(OR(A10="",B10=""),"",COUNTIFS('Nudge Log'!$A$3:$A$193,A10,'Nudge Log'!$B$3:$B$193,B10,'Nudge Log'!$H$3:$H$193,"Y"))</f>
        <v>2</v>
      </c>
      <c r="E10" s="33">
        <f t="shared" si="0"/>
        <v>0.4</v>
      </c>
      <c r="F10" s="6"/>
    </row>
    <row r="11" spans="1:9" x14ac:dyDescent="0.2">
      <c r="A11" s="32">
        <v>46267</v>
      </c>
      <c r="B11" s="14" t="s">
        <v>17</v>
      </c>
      <c r="C11" s="12">
        <f>IF(OR(A11="",B11=""),"",COUNTIFS('Nudge Log'!$A$3:$A$193,A11,'Nudge Log'!$B$3:$B$193,B11))</f>
        <v>5</v>
      </c>
      <c r="D11" s="12">
        <f>IF(OR(A11="",B11=""),"",COUNTIFS('Nudge Log'!$A$3:$A$193,A11,'Nudge Log'!$B$3:$B$193,B11,'Nudge Log'!$H$3:$H$193,"Y"))</f>
        <v>5</v>
      </c>
      <c r="E11" s="33">
        <f t="shared" si="0"/>
        <v>1</v>
      </c>
      <c r="F11" s="6"/>
    </row>
    <row r="12" spans="1:9" x14ac:dyDescent="0.2">
      <c r="A12" s="32">
        <v>46267</v>
      </c>
      <c r="B12" s="14" t="s">
        <v>18</v>
      </c>
      <c r="C12" s="12">
        <f>IF(OR(A12="",B12=""),"",COUNTIFS('Nudge Log'!$A$3:$A$193,A12,'Nudge Log'!$B$3:$B$193,B12))</f>
        <v>5</v>
      </c>
      <c r="D12" s="12">
        <f>IF(OR(A12="",B12=""),"",COUNTIFS('Nudge Log'!$A$3:$A$193,A12,'Nudge Log'!$B$3:$B$193,B12,'Nudge Log'!$H$3:$H$193,"Y"))</f>
        <v>3</v>
      </c>
      <c r="E12" s="33">
        <f t="shared" si="0"/>
        <v>0.6</v>
      </c>
      <c r="F12" s="6"/>
    </row>
    <row r="13" spans="1:9" x14ac:dyDescent="0.2">
      <c r="A13" s="32">
        <v>46267</v>
      </c>
      <c r="B13" s="14" t="s">
        <v>77</v>
      </c>
      <c r="C13" s="12">
        <f>IF(OR(A13="",B13=""),"",COUNTIFS('Nudge Log'!$A$3:$A$193,A13,'Nudge Log'!$B$3:$B$193,B13))</f>
        <v>5</v>
      </c>
      <c r="D13" s="12">
        <f>IF(OR(A13="",B13=""),"",COUNTIFS('Nudge Log'!$A$3:$A$193,A13,'Nudge Log'!$B$3:$B$193,B13,'Nudge Log'!$H$3:$H$193,"Y"))</f>
        <v>5</v>
      </c>
      <c r="E13" s="33">
        <f t="shared" si="0"/>
        <v>1</v>
      </c>
      <c r="F13" s="6"/>
    </row>
    <row r="14" spans="1:9" x14ac:dyDescent="0.2">
      <c r="A14" s="32">
        <v>46268</v>
      </c>
      <c r="B14" s="14" t="s">
        <v>14</v>
      </c>
      <c r="C14" s="12">
        <f>IF(OR(A14="",B14=""),"",COUNTIFS('Nudge Log'!$A$3:$A$193,A14,'Nudge Log'!$B$3:$B$193,B14))</f>
        <v>6</v>
      </c>
      <c r="D14" s="12">
        <f>IF(OR(A14="",B14=""),"",COUNTIFS('Nudge Log'!$A$3:$A$193,A14,'Nudge Log'!$B$3:$B$193,B14,'Nudge Log'!$H$3:$H$193,"Y"))</f>
        <v>0</v>
      </c>
      <c r="E14" s="33">
        <f t="shared" si="0"/>
        <v>0</v>
      </c>
      <c r="F14" s="6" t="s">
        <v>149</v>
      </c>
    </row>
    <row r="15" spans="1:9" x14ac:dyDescent="0.2">
      <c r="A15" s="32">
        <v>46268</v>
      </c>
      <c r="B15" s="14" t="s">
        <v>15</v>
      </c>
      <c r="C15" s="12">
        <f>IF(OR(A15="",B15=""),"",COUNTIFS('Nudge Log'!$A$3:$A$193,A15,'Nudge Log'!$B$3:$B$193,B15))</f>
        <v>6</v>
      </c>
      <c r="D15" s="12">
        <f>IF(OR(A15="",B15=""),"",COUNTIFS('Nudge Log'!$A$3:$A$193,A15,'Nudge Log'!$B$3:$B$193,B15,'Nudge Log'!$H$3:$H$193,"Y"))</f>
        <v>3</v>
      </c>
      <c r="E15" s="33">
        <f t="shared" si="0"/>
        <v>0.5</v>
      </c>
      <c r="F15" s="6"/>
    </row>
    <row r="16" spans="1:9" x14ac:dyDescent="0.2">
      <c r="A16" s="32">
        <v>46268</v>
      </c>
      <c r="B16" s="14" t="s">
        <v>16</v>
      </c>
      <c r="C16" s="12">
        <f>IF(OR(A16="",B16=""),"",COUNTIFS('Nudge Log'!$A$3:$A$193,A16,'Nudge Log'!$B$3:$B$193,B16))</f>
        <v>5</v>
      </c>
      <c r="D16" s="12">
        <f>IF(OR(A16="",B16=""),"",COUNTIFS('Nudge Log'!$A$3:$A$193,A16,'Nudge Log'!$B$3:$B$193,B16,'Nudge Log'!$H$3:$H$193,"Y"))</f>
        <v>0</v>
      </c>
      <c r="E16" s="33">
        <f t="shared" si="0"/>
        <v>0</v>
      </c>
      <c r="F16" s="6" t="s">
        <v>151</v>
      </c>
    </row>
    <row r="17" spans="1:6" x14ac:dyDescent="0.2">
      <c r="A17" s="32">
        <v>46268</v>
      </c>
      <c r="B17" s="14" t="s">
        <v>17</v>
      </c>
      <c r="C17" s="12">
        <f>IF(OR(A17="",B17=""),"",COUNTIFS('Nudge Log'!$A$3:$A$193,A17,'Nudge Log'!$B$3:$B$193,B17))</f>
        <v>4</v>
      </c>
      <c r="D17" s="12">
        <f>IF(OR(A17="",B17=""),"",COUNTIFS('Nudge Log'!$A$3:$A$193,A17,'Nudge Log'!$B$3:$B$193,B17,'Nudge Log'!$H$3:$H$193,"Y"))</f>
        <v>4</v>
      </c>
      <c r="E17" s="33">
        <f t="shared" si="0"/>
        <v>1</v>
      </c>
      <c r="F17" s="6"/>
    </row>
    <row r="18" spans="1:6" x14ac:dyDescent="0.2">
      <c r="A18" s="32">
        <v>46268</v>
      </c>
      <c r="B18" s="14" t="s">
        <v>18</v>
      </c>
      <c r="C18" s="12">
        <f>IF(OR(A18="",B18=""),"",COUNTIFS('Nudge Log'!$A$3:$A$193,A18,'Nudge Log'!$B$3:$B$193,B18))</f>
        <v>6</v>
      </c>
      <c r="D18" s="12">
        <f>IF(OR(A18="",B18=""),"",COUNTIFS('Nudge Log'!$A$3:$A$193,A18,'Nudge Log'!$B$3:$B$193,B18,'Nudge Log'!$H$3:$H$193,"Y"))</f>
        <v>5</v>
      </c>
      <c r="E18" s="33">
        <f t="shared" si="0"/>
        <v>0.83333333333333337</v>
      </c>
      <c r="F18" s="6"/>
    </row>
    <row r="19" spans="1:6" ht="16" x14ac:dyDescent="0.2">
      <c r="A19" s="32">
        <v>46268</v>
      </c>
      <c r="B19" s="14" t="s">
        <v>77</v>
      </c>
      <c r="C19" s="12">
        <f>IF(OR(A19="",B19=""),"",COUNTIFS('Nudge Log'!$A$3:$A$193,A19,'Nudge Log'!$B$3:$B$193,B19))</f>
        <v>6</v>
      </c>
      <c r="D19" s="12">
        <f>IF(OR(A19="",B19=""),"",COUNTIFS('Nudge Log'!$A$3:$A$193,A19,'Nudge Log'!$B$3:$B$193,B19,'Nudge Log'!$H$3:$H$193,"Y"))</f>
        <v>0</v>
      </c>
      <c r="E19" s="33">
        <f t="shared" si="0"/>
        <v>0</v>
      </c>
      <c r="F19" s="34" t="s">
        <v>150</v>
      </c>
    </row>
    <row r="20" spans="1:6" x14ac:dyDescent="0.2">
      <c r="A20" s="32">
        <v>46269</v>
      </c>
      <c r="B20" s="14" t="s">
        <v>14</v>
      </c>
      <c r="C20" s="12">
        <f>IF(OR(A20="",B20=""),"",COUNTIFS('Nudge Log'!$A$3:$A$193,A20,'Nudge Log'!$B$3:$B$193,B20))</f>
        <v>5</v>
      </c>
      <c r="D20" s="12">
        <f>IF(OR(A20="",B20=""),"",COUNTIFS('Nudge Log'!$A$3:$A$193,A20,'Nudge Log'!$B$3:$B$193,B20,'Nudge Log'!$H$3:$H$193,"Y"))</f>
        <v>1</v>
      </c>
      <c r="E20" s="33">
        <f t="shared" si="0"/>
        <v>0.2</v>
      </c>
      <c r="F20" s="6" t="s">
        <v>149</v>
      </c>
    </row>
    <row r="21" spans="1:6" x14ac:dyDescent="0.2">
      <c r="A21" s="32">
        <v>46269</v>
      </c>
      <c r="B21" s="14" t="s">
        <v>15</v>
      </c>
      <c r="C21" s="12">
        <f>IF(OR(A21="",B21=""),"",COUNTIFS('Nudge Log'!$A$3:$A$193,A21,'Nudge Log'!$B$3:$B$193,B21))</f>
        <v>4</v>
      </c>
      <c r="D21" s="12">
        <f>IF(OR(A21="",B21=""),"",COUNTIFS('Nudge Log'!$A$3:$A$193,A21,'Nudge Log'!$B$3:$B$193,B21,'Nudge Log'!$H$3:$H$193,"Y"))</f>
        <v>4</v>
      </c>
      <c r="E21" s="33">
        <f t="shared" si="0"/>
        <v>1</v>
      </c>
      <c r="F21" s="6"/>
    </row>
    <row r="22" spans="1:6" x14ac:dyDescent="0.2">
      <c r="A22" s="32">
        <v>46269</v>
      </c>
      <c r="B22" s="14" t="s">
        <v>16</v>
      </c>
      <c r="C22" s="12">
        <f>IF(OR(A22="",B22=""),"",COUNTIFS('Nudge Log'!$A$3:$A$193,A22,'Nudge Log'!$B$3:$B$193,B22))</f>
        <v>2</v>
      </c>
      <c r="D22" s="12">
        <f>IF(OR(A22="",B22=""),"",COUNTIFS('Nudge Log'!$A$3:$A$193,A22,'Nudge Log'!$B$3:$B$193,B22,'Nudge Log'!$H$3:$H$193,"Y"))</f>
        <v>0</v>
      </c>
      <c r="E22" s="33">
        <f t="shared" si="0"/>
        <v>0</v>
      </c>
      <c r="F22" s="6" t="s">
        <v>151</v>
      </c>
    </row>
    <row r="23" spans="1:6" x14ac:dyDescent="0.2">
      <c r="A23" s="32">
        <v>46269</v>
      </c>
      <c r="B23" s="14" t="s">
        <v>17</v>
      </c>
      <c r="C23" s="12">
        <f>IF(OR(A23="",B23=""),"",COUNTIFS('Nudge Log'!$A$3:$A$193,A23,'Nudge Log'!$B$3:$B$193,B23))</f>
        <v>5</v>
      </c>
      <c r="D23" s="12">
        <f>IF(OR(A23="",B23=""),"",COUNTIFS('Nudge Log'!$A$3:$A$193,A23,'Nudge Log'!$B$3:$B$193,B23,'Nudge Log'!$H$3:$H$193,"Y"))</f>
        <v>4</v>
      </c>
      <c r="E23" s="33">
        <f t="shared" si="0"/>
        <v>0.8</v>
      </c>
      <c r="F23" s="6"/>
    </row>
    <row r="24" spans="1:6" x14ac:dyDescent="0.2">
      <c r="A24" s="32">
        <v>46269</v>
      </c>
      <c r="B24" s="14" t="s">
        <v>18</v>
      </c>
      <c r="C24" s="12">
        <f>IF(OR(A24="",B24=""),"",COUNTIFS('Nudge Log'!$A$3:$A$193,A24,'Nudge Log'!$B$3:$B$193,B24))</f>
        <v>4</v>
      </c>
      <c r="D24" s="12">
        <f>IF(OR(A24="",B24=""),"",COUNTIFS('Nudge Log'!$A$3:$A$193,A24,'Nudge Log'!$B$3:$B$193,B24,'Nudge Log'!$H$3:$H$193,"Y"))</f>
        <v>4</v>
      </c>
      <c r="E24" s="33">
        <f t="shared" si="0"/>
        <v>1</v>
      </c>
      <c r="F24" s="6"/>
    </row>
    <row r="25" spans="1:6" x14ac:dyDescent="0.2">
      <c r="A25" s="32">
        <v>46269</v>
      </c>
      <c r="B25" s="14" t="s">
        <v>77</v>
      </c>
      <c r="C25" s="12">
        <f>IF(OR(A25="",B25=""),"",COUNTIFS('Nudge Log'!$A$3:$A$193,A25,'Nudge Log'!$B$3:$B$193,B25))</f>
        <v>5</v>
      </c>
      <c r="D25" s="12">
        <f>IF(OR(A25="",B25=""),"",COUNTIFS('Nudge Log'!$A$3:$A$193,A25,'Nudge Log'!$B$3:$B$193,B25,'Nudge Log'!$H$3:$H$193,"Y"))</f>
        <v>2</v>
      </c>
      <c r="E25" s="33">
        <f t="shared" si="0"/>
        <v>0.4</v>
      </c>
      <c r="F25" s="6" t="s">
        <v>152</v>
      </c>
    </row>
    <row r="26" spans="1:6" x14ac:dyDescent="0.2">
      <c r="A26" s="9"/>
      <c r="B26" s="9" t="s">
        <v>175</v>
      </c>
      <c r="C26" s="9">
        <f>SUM(C2:C25)</f>
        <v>123</v>
      </c>
      <c r="D26" s="9">
        <f>SUM(D2:D25)</f>
        <v>74</v>
      </c>
      <c r="E26" s="31">
        <f t="shared" si="0"/>
        <v>0.60162601626016265</v>
      </c>
    </row>
    <row r="27" spans="1:6" x14ac:dyDescent="0.2">
      <c r="A27" s="3"/>
      <c r="B27" s="3"/>
      <c r="C27" s="3" t="str">
        <f>IF(OR(A27="",B27=""),"",COUNTIFS('Nudge Log'!$A$3:$A$193,A27,'Nudge Log'!$B$3:$B$193,B27))</f>
        <v/>
      </c>
      <c r="D27" s="3" t="str">
        <f>IF(OR(A27="",B27=""),"",COUNTIFS('Nudge Log'!$A$3:$A$193,A27,'Nudge Log'!$B$3:$B$193,B27,'Nudge Log'!$H$3:$H$193,"Y"))</f>
        <v/>
      </c>
      <c r="E27" s="4" t="str">
        <f t="shared" si="0"/>
        <v/>
      </c>
    </row>
    <row r="28" spans="1:6" x14ac:dyDescent="0.2">
      <c r="A28" s="3"/>
      <c r="B28" s="3"/>
      <c r="C28" s="3" t="str">
        <f>IF(OR(A28="",B28=""),"",COUNTIFS('Nudge Log'!$A$3:$A$193,A28,'Nudge Log'!$B$3:$B$193,B28))</f>
        <v/>
      </c>
      <c r="D28" s="3"/>
      <c r="E28" s="4" t="str">
        <f t="shared" si="0"/>
        <v/>
      </c>
    </row>
    <row r="29" spans="1:6" x14ac:dyDescent="0.2">
      <c r="A29" s="3"/>
      <c r="B29" s="3"/>
      <c r="C29" s="3" t="str">
        <f>IF(OR(A29="",B29=""),"",COUNTIFS('Nudge Log'!$A$3:$A$193,A29,'Nudge Log'!$B$3:$B$193,B29))</f>
        <v/>
      </c>
      <c r="D29" s="3" t="str">
        <f>IF(OR(A29="",B29=""),"",COUNTIFS('Nudge Log'!$A$3:$A$193,A29,'Nudge Log'!$B$3:$B$193,B29,'Nudge Log'!$H$3:$H$193,"Y"))</f>
        <v/>
      </c>
      <c r="E29" s="4" t="str">
        <f t="shared" si="0"/>
        <v/>
      </c>
    </row>
    <row r="30" spans="1:6" x14ac:dyDescent="0.2">
      <c r="A30" s="3"/>
      <c r="B30" s="3"/>
      <c r="C30" s="3" t="str">
        <f>IF(OR(A30="",B30=""),"",COUNTIFS('Nudge Log'!$A$3:$A$193,A30,'Nudge Log'!$B$3:$B$193,B30))</f>
        <v/>
      </c>
      <c r="D30" s="3" t="str">
        <f>IF(OR(A30="",B30=""),"",COUNTIFS('Nudge Log'!$A$3:$A$193,A30,'Nudge Log'!$B$3:$B$193,B30,'Nudge Log'!$H$3:$H$193,"Y"))</f>
        <v/>
      </c>
      <c r="E30" s="4" t="str">
        <f t="shared" si="0"/>
        <v/>
      </c>
    </row>
    <row r="31" spans="1:6" x14ac:dyDescent="0.2">
      <c r="A31" s="3"/>
      <c r="B31" s="3"/>
      <c r="C31" s="3" t="str">
        <f>IF(OR(A31="",B31=""),"",COUNTIFS('Nudge Log'!$A$3:$A$193,A31,'Nudge Log'!$B$3:$B$193,B31))</f>
        <v/>
      </c>
      <c r="D31" s="3" t="str">
        <f>IF(OR(A31="",B31=""),"",COUNTIFS('Nudge Log'!$A$3:$A$193,A31,'Nudge Log'!$B$3:$B$193,B31,'Nudge Log'!$H$3:$H$193,"Y"))</f>
        <v/>
      </c>
      <c r="E31" s="4" t="str">
        <f t="shared" si="0"/>
        <v/>
      </c>
    </row>
    <row r="32" spans="1:6" x14ac:dyDescent="0.2">
      <c r="A32" s="3"/>
      <c r="B32" s="3"/>
      <c r="C32" s="3" t="str">
        <f>IF(OR(A32="",B32=""),"",COUNTIFS('Nudge Log'!$A$3:$A$193,A32,'Nudge Log'!$B$3:$B$193,B32))</f>
        <v/>
      </c>
      <c r="D32" s="3" t="str">
        <f>IF(OR(A32="",B32=""),"",COUNTIFS('Nudge Log'!$A$3:$A$193,A32,'Nudge Log'!$B$3:$B$193,B32,'Nudge Log'!$H$3:$H$193,"Y"))</f>
        <v/>
      </c>
      <c r="E32" s="4" t="str">
        <f t="shared" si="0"/>
        <v/>
      </c>
    </row>
    <row r="33" spans="1:7" x14ac:dyDescent="0.2">
      <c r="A33" s="3"/>
      <c r="B33" s="3"/>
      <c r="C33" s="3" t="str">
        <f>IF(OR(A33="",B33=""),"",COUNTIFS('Nudge Log'!$A$3:$A$193,A33,'Nudge Log'!$B$3:$B$193,B33))</f>
        <v/>
      </c>
      <c r="D33" s="3" t="str">
        <f>IF(OR(A33="",B33=""),"",COUNTIFS('Nudge Log'!$A$3:$A$193,A33,'Nudge Log'!$B$3:$B$193,B33,'Nudge Log'!$H$3:$H$193,"Y"))</f>
        <v/>
      </c>
      <c r="E33" s="4" t="str">
        <f t="shared" si="0"/>
        <v/>
      </c>
    </row>
    <row r="34" spans="1:7" x14ac:dyDescent="0.2">
      <c r="A34" s="3"/>
      <c r="B34" s="3"/>
      <c r="C34" s="3" t="str">
        <f>IF(OR(A34="",B34=""),"",COUNTIFS('Nudge Log'!$A$3:$A$193,A34,'Nudge Log'!$B$3:$B$193,B34))</f>
        <v/>
      </c>
      <c r="D34" s="3" t="str">
        <f>IF(OR(A34="",B34=""),"",COUNTIFS('Nudge Log'!$A$3:$A$193,A34,'Nudge Log'!$B$3:$B$193,B34,'Nudge Log'!$H$3:$H$193,"Y"))</f>
        <v/>
      </c>
      <c r="E34" s="4" t="str">
        <f t="shared" si="0"/>
        <v/>
      </c>
      <c r="G34">
        <f>SUM(D2:D25)</f>
        <v>74</v>
      </c>
    </row>
    <row r="35" spans="1:7" x14ac:dyDescent="0.2">
      <c r="A35" s="3"/>
      <c r="B35" s="3"/>
      <c r="C35" s="3" t="str">
        <f>IF(OR(A35="",B35=""),"",COUNTIFS('Nudge Log'!$A$3:$A$193,A35,'Nudge Log'!$B$3:$B$193,B35))</f>
        <v/>
      </c>
      <c r="D35" s="3" t="str">
        <f>IF(OR(A35="",B35=""),"",COUNTIFS('Nudge Log'!$A$3:$A$193,A35,'Nudge Log'!$B$3:$B$193,B35,'Nudge Log'!$H$3:$H$193,"Y"))</f>
        <v/>
      </c>
      <c r="E35" s="4" t="str">
        <f t="shared" si="0"/>
        <v/>
      </c>
    </row>
    <row r="36" spans="1:7" x14ac:dyDescent="0.2">
      <c r="A36" s="3"/>
      <c r="B36" s="3"/>
      <c r="C36" s="3" t="str">
        <f>IF(OR(A36="",B36=""),"",COUNTIFS('Nudge Log'!$A$3:$A$193,A36,'Nudge Log'!$B$3:$B$193,B36))</f>
        <v/>
      </c>
      <c r="D36" s="3" t="str">
        <f>IF(OR(A36="",B36=""),"",COUNTIFS('Nudge Log'!$A$3:$A$193,A36,'Nudge Log'!$B$3:$B$193,B36,'Nudge Log'!$H$3:$H$193,"Y"))</f>
        <v/>
      </c>
      <c r="E36" s="4" t="str">
        <f t="shared" si="0"/>
        <v/>
      </c>
    </row>
    <row r="37" spans="1:7" x14ac:dyDescent="0.2">
      <c r="A37" s="3"/>
      <c r="B37" s="3"/>
      <c r="C37" s="3" t="str">
        <f>IF(OR(A37="",B37=""),"",COUNTIFS('Nudge Log'!$A$3:$A$193,A37,'Nudge Log'!$B$3:$B$193,B37))</f>
        <v/>
      </c>
      <c r="D37" s="3" t="str">
        <f>IF(OR(A37="",B37=""),"",COUNTIFS('Nudge Log'!$A$3:$A$193,A37,'Nudge Log'!$B$3:$B$193,B37,'Nudge Log'!$H$3:$H$193,"Y"))</f>
        <v/>
      </c>
      <c r="E37" s="4" t="str">
        <f t="shared" si="0"/>
        <v/>
      </c>
    </row>
    <row r="38" spans="1:7" x14ac:dyDescent="0.2">
      <c r="A38" s="3"/>
      <c r="B38" s="3"/>
      <c r="C38" s="3" t="str">
        <f>IF(OR(A38="",B38=""),"",COUNTIFS('Nudge Log'!$A$3:$A$193,A38,'Nudge Log'!$B$3:$B$193,B38))</f>
        <v/>
      </c>
      <c r="D38" s="3" t="str">
        <f>IF(OR(A38="",B38=""),"",COUNTIFS('Nudge Log'!$A$3:$A$193,A38,'Nudge Log'!$B$3:$B$193,B38,'Nudge Log'!$H$3:$H$193,"Y"))</f>
        <v/>
      </c>
      <c r="E38" s="4" t="str">
        <f>IF(OR(C38="",C38=0),"",D38/C38)</f>
        <v/>
      </c>
    </row>
    <row r="39" spans="1:7" x14ac:dyDescent="0.2">
      <c r="A39" s="3"/>
      <c r="B39" s="3"/>
      <c r="C39" s="3" t="str">
        <f>IF(OR(A39="",B39=""),"",COUNTIFS('Nudge Log'!$A$3:$A$193,A39,'Nudge Log'!$B$3:$B$193,B39))</f>
        <v/>
      </c>
      <c r="D39" s="3" t="str">
        <f>IF(OR(A39="",B39=""),"",COUNTIFS('Nudge Log'!$A$3:$A$193,A39,'Nudge Log'!$B$3:$B$193,B39,'Nudge Log'!$H$3:$H$193,"Y"))</f>
        <v/>
      </c>
      <c r="E39" s="4" t="str">
        <f t="shared" si="0"/>
        <v/>
      </c>
    </row>
    <row r="40" spans="1:7" x14ac:dyDescent="0.2">
      <c r="A40" s="3"/>
      <c r="B40" s="3"/>
      <c r="C40" s="3" t="str">
        <f>IF(OR(A40="",B40=""),"",COUNTIFS('Nudge Log'!$A$3:$A$193,A40,'Nudge Log'!$B$3:$B$193,B40))</f>
        <v/>
      </c>
      <c r="D40" s="3" t="str">
        <f>IF(OR(A40="",B40=""),"",COUNTIFS('Nudge Log'!$A$3:$A$193,A40,'Nudge Log'!$B$3:$B$193,B40,'Nudge Log'!$H$3:$H$193,"Y"))</f>
        <v/>
      </c>
      <c r="E40" s="4" t="str">
        <f t="shared" si="0"/>
        <v/>
      </c>
    </row>
    <row r="41" spans="1:7" x14ac:dyDescent="0.2">
      <c r="A41" s="3"/>
      <c r="B41" s="3"/>
      <c r="C41" s="3" t="str">
        <f>IF(OR(A41="",B41=""),"",COUNTIFS('Nudge Log'!$A$3:$A$193,A41,'Nudge Log'!$B$3:$B$193,B41))</f>
        <v/>
      </c>
      <c r="D41" s="3" t="str">
        <f>IF(OR(A41="",B41=""),"",COUNTIFS('Nudge Log'!$A$3:$A$193,A41,'Nudge Log'!$B$3:$B$193,B41,'Nudge Log'!$H$3:$H$193,"Y"))</f>
        <v/>
      </c>
      <c r="E41" s="4" t="str">
        <f t="shared" si="0"/>
        <v/>
      </c>
    </row>
  </sheetData>
  <mergeCells count="3">
    <mergeCell ref="G2:I2"/>
    <mergeCell ref="G3:I3"/>
    <mergeCell ref="G4:I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tabSelected="1" zoomScaleNormal="100" workbookViewId="0">
      <pane ySplit="1" topLeftCell="A2" activePane="bottomLeft" state="frozen"/>
      <selection pane="bottomLeft" activeCell="D11" sqref="D11"/>
    </sheetView>
  </sheetViews>
  <sheetFormatPr baseColWidth="10" defaultColWidth="8.6640625" defaultRowHeight="15" x14ac:dyDescent="0.2"/>
  <cols>
    <col min="1" max="1" width="26.33203125" customWidth="1"/>
    <col min="2" max="2" width="23" customWidth="1"/>
    <col min="3" max="3" width="38" customWidth="1"/>
    <col min="4" max="4" width="39.5" customWidth="1"/>
    <col min="5" max="5" width="43.6640625" customWidth="1"/>
    <col min="6" max="6" width="34.6640625" customWidth="1"/>
    <col min="7" max="7" width="16.6640625" customWidth="1"/>
    <col min="8" max="8" width="46.33203125" customWidth="1"/>
  </cols>
  <sheetData>
    <row r="1" spans="1:8" ht="91" customHeight="1" x14ac:dyDescent="0.2">
      <c r="A1" s="30" t="s">
        <v>1</v>
      </c>
      <c r="B1" s="30" t="s">
        <v>13</v>
      </c>
      <c r="C1" s="30" t="s">
        <v>138</v>
      </c>
      <c r="D1" s="30" t="s">
        <v>139</v>
      </c>
      <c r="E1" s="30" t="s">
        <v>140</v>
      </c>
      <c r="F1" s="30" t="s">
        <v>141</v>
      </c>
      <c r="G1" s="30" t="s">
        <v>142</v>
      </c>
      <c r="H1" s="36" t="s">
        <v>148</v>
      </c>
    </row>
    <row r="2" spans="1:8" ht="43" x14ac:dyDescent="0.2">
      <c r="A2" s="35" t="s">
        <v>14</v>
      </c>
      <c r="B2" s="12" t="s">
        <v>9</v>
      </c>
      <c r="C2" s="12" t="s">
        <v>153</v>
      </c>
      <c r="D2" s="12" t="s">
        <v>154</v>
      </c>
      <c r="E2" s="12" t="s">
        <v>155</v>
      </c>
      <c r="F2" s="16" t="s">
        <v>156</v>
      </c>
      <c r="G2" s="6">
        <v>5</v>
      </c>
      <c r="H2" s="6"/>
    </row>
    <row r="3" spans="1:8" ht="29" x14ac:dyDescent="0.2">
      <c r="A3" s="35" t="s">
        <v>15</v>
      </c>
      <c r="B3" s="12" t="s">
        <v>9</v>
      </c>
      <c r="C3" s="12" t="s">
        <v>157</v>
      </c>
      <c r="D3" s="16" t="s">
        <v>158</v>
      </c>
      <c r="E3" s="12" t="s">
        <v>159</v>
      </c>
      <c r="F3" s="12" t="s">
        <v>160</v>
      </c>
      <c r="G3" s="6">
        <v>4</v>
      </c>
      <c r="H3" s="6"/>
    </row>
    <row r="4" spans="1:8" ht="37" customHeight="1" x14ac:dyDescent="0.2">
      <c r="A4" s="35" t="s">
        <v>16</v>
      </c>
      <c r="B4" s="12" t="s">
        <v>111</v>
      </c>
      <c r="C4" s="12"/>
      <c r="D4" s="12"/>
      <c r="E4" s="12"/>
      <c r="F4" s="12"/>
      <c r="G4" s="6"/>
      <c r="H4" s="6"/>
    </row>
    <row r="5" spans="1:8" ht="43" x14ac:dyDescent="0.2">
      <c r="A5" s="35" t="s">
        <v>17</v>
      </c>
      <c r="B5" s="12" t="s">
        <v>9</v>
      </c>
      <c r="C5" s="16" t="s">
        <v>161</v>
      </c>
      <c r="D5" s="16" t="s">
        <v>162</v>
      </c>
      <c r="E5" s="16" t="s">
        <v>163</v>
      </c>
      <c r="F5" s="12" t="s">
        <v>164</v>
      </c>
      <c r="G5" s="6">
        <v>3.5</v>
      </c>
      <c r="H5" s="16" t="s">
        <v>165</v>
      </c>
    </row>
    <row r="6" spans="1:8" ht="92" customHeight="1" x14ac:dyDescent="0.2">
      <c r="A6" s="35" t="s">
        <v>18</v>
      </c>
      <c r="B6" s="12" t="s">
        <v>9</v>
      </c>
      <c r="C6" s="16" t="s">
        <v>166</v>
      </c>
      <c r="D6" s="16" t="s">
        <v>167</v>
      </c>
      <c r="E6" s="16" t="s">
        <v>168</v>
      </c>
      <c r="F6" s="16" t="s">
        <v>169</v>
      </c>
      <c r="G6" s="6">
        <v>3.5</v>
      </c>
      <c r="H6" s="6"/>
    </row>
    <row r="7" spans="1:8" ht="125" customHeight="1" x14ac:dyDescent="0.2">
      <c r="A7" s="35" t="s">
        <v>77</v>
      </c>
      <c r="B7" s="12" t="s">
        <v>9</v>
      </c>
      <c r="C7" s="16" t="s">
        <v>170</v>
      </c>
      <c r="D7" s="16" t="s">
        <v>171</v>
      </c>
      <c r="E7" s="16" t="s">
        <v>172</v>
      </c>
      <c r="F7" s="16" t="s">
        <v>173</v>
      </c>
      <c r="G7" s="6">
        <v>5</v>
      </c>
      <c r="H7" s="34" t="s">
        <v>174</v>
      </c>
    </row>
    <row r="8" spans="1:8" x14ac:dyDescent="0.2">
      <c r="A8" s="9"/>
      <c r="B8" s="9"/>
      <c r="C8" s="9"/>
      <c r="D8" s="9"/>
      <c r="E8" s="9"/>
      <c r="F8" s="9"/>
    </row>
    <row r="9" spans="1:8" x14ac:dyDescent="0.2">
      <c r="A9" s="3"/>
      <c r="B9" s="3"/>
      <c r="C9" s="3"/>
      <c r="D9" s="3"/>
      <c r="E9" s="3"/>
      <c r="F9" s="3"/>
    </row>
    <row r="10" spans="1:8" x14ac:dyDescent="0.2">
      <c r="A10" s="3"/>
      <c r="B10" s="3"/>
      <c r="C10" s="3"/>
      <c r="D10" s="3"/>
      <c r="E10" s="3"/>
      <c r="F10" s="3"/>
    </row>
    <row r="11" spans="1:8" x14ac:dyDescent="0.2">
      <c r="A11" s="3"/>
      <c r="B11" s="3"/>
      <c r="C11" s="3"/>
      <c r="D11" s="3"/>
      <c r="E11" s="3"/>
      <c r="F11" s="3"/>
    </row>
    <row r="12" spans="1:8" x14ac:dyDescent="0.2">
      <c r="A12" s="3"/>
      <c r="B12" s="3"/>
      <c r="C12" s="3"/>
      <c r="D12" s="3"/>
      <c r="E12" s="3"/>
      <c r="F12" s="3"/>
    </row>
    <row r="13" spans="1:8" x14ac:dyDescent="0.2">
      <c r="A13" s="3"/>
      <c r="B13" s="3"/>
      <c r="C13" s="3"/>
      <c r="D13" s="3"/>
      <c r="E13" s="3"/>
      <c r="F13" s="3"/>
    </row>
    <row r="14" spans="1:8" x14ac:dyDescent="0.2">
      <c r="A14" s="3"/>
      <c r="B14" s="3"/>
      <c r="C14" s="3"/>
      <c r="D14" s="3"/>
      <c r="E14" s="3"/>
      <c r="F14" s="3"/>
    </row>
    <row r="15" spans="1:8" x14ac:dyDescent="0.2">
      <c r="A15" s="3"/>
      <c r="B15" s="3"/>
      <c r="C15" s="3"/>
      <c r="D15" s="3"/>
      <c r="E15" s="3"/>
      <c r="F15" s="3"/>
    </row>
    <row r="16" spans="1:8"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sheetData>
  <dataValidations count="2">
    <dataValidation type="list" allowBlank="1" sqref="B2:B21 E2:E21" xr:uid="{00000000-0002-0000-0200-000000000000}">
      <formula1>"Y,N"</formula1>
      <formula2>0</formula2>
    </dataValidation>
    <dataValidation type="list" allowBlank="1" sqref="F2:F21" xr:uid="{00000000-0002-0000-0200-000002000000}">
      <formula1>"1,2,3,4,5"</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Initial_Prep</vt:lpstr>
      <vt:lpstr>Nudge Log</vt:lpstr>
      <vt:lpstr>Daily Summary</vt:lpstr>
      <vt:lpstr>Feedback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Rishu Kumar</cp:lastModifiedBy>
  <cp:revision>0</cp:revision>
  <dcterms:created xsi:type="dcterms:W3CDTF">2026-08-31T07:41:51Z</dcterms:created>
  <dcterms:modified xsi:type="dcterms:W3CDTF">2026-09-21T16:50:27Z</dcterms:modified>
  <dc:language>en-US</dc:language>
</cp:coreProperties>
</file>