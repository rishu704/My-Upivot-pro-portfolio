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itial_Prep" sheetId="1" state="visible" r:id="rId3"/>
    <sheet name="Nudge Log" sheetId="2" state="visible" r:id="rId4"/>
    <sheet name="Daily Summary" sheetId="3" state="visible" r:id="rId5"/>
    <sheet name="Feedback summary" sheetId="4" state="visible" r:id="rId6"/>
    <sheet name="Chat-Verified Nudge Log"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<sst xmlns="http://schemas.openxmlformats.org/spreadsheetml/2006/main" count="1622" uniqueCount="499">
  <si>
    <t xml:space="preserve">Idea for nudges </t>
  </si>
  <si>
    <t xml:space="preserve">Santosh — Work 11:00 AM–8:00 PM</t>
  </si>
  <si>
    <t xml:space="preserve">Window</t>
  </si>
  <si>
    <t xml:space="preserve">Type</t>
  </si>
  <si>
    <t xml:space="preserve">Suggested time</t>
  </si>
  <si>
    <t xml:space="preserve">Nudge line</t>
  </si>
  <si>
    <t xml:space="preserve">11:00 AM–1:00 PM</t>
  </si>
  <si>
    <t xml:space="preserve">Deep focus</t>
  </si>
  <si>
    <t xml:space="preserve">~12:00 PM</t>
  </si>
  <si>
    <t xml:space="preserve">"Know you're heads-down — just a quick one, it's been an hour. Stretch whenever you get a natural gap 🙂"</t>
  </si>
  <si>
    <t xml:space="preserve">1:00 PM–2:00 PM</t>
  </si>
  <si>
    <t xml:space="preserve">Free</t>
  </si>
  <si>
    <t xml:space="preserve">~1:45 PM</t>
  </si>
  <si>
    <t xml:space="preserve">"Quick stretch or water break before you dive back in?"</t>
  </si>
  <si>
    <t xml:space="preserve">2:00 PM–6:00 PM</t>
  </si>
  <si>
    <t xml:space="preserve">~4:00 PM</t>
  </si>
  <si>
    <t xml:space="preserve">"Just flagging — 2 hrs in. No pressure, whenever's a good pause point."</t>
  </si>
  <si>
    <t xml:space="preserve">~6:00 PM</t>
  </si>
  <si>
    <t xml:space="preserve">"One more check-in before you wrap this stretch — quick stand-up if you can?"</t>
  </si>
  <si>
    <t xml:space="preserve">6:00 PM–8:00 PM</t>
  </si>
  <si>
    <t xml:space="preserve">~7:00 PM</t>
  </si>
  <si>
    <t xml:space="preserve">"Hey — been about an hour again. Quick walk or stretch?"</t>
  </si>
  <si>
    <t xml:space="preserve">~8:00 PM</t>
  </si>
  <si>
    <t xml:space="preserve">"Last one for the day — might be a good time to step away for a sec before you log off."</t>
  </si>
  <si>
    <t xml:space="preserve">Soumya — Work 9:00 AM–8:30 PM</t>
  </si>
  <si>
    <t xml:space="preserve">9:00 AM–10:00 AM</t>
  </si>
  <si>
    <t xml:space="preserve">~9:45 AM</t>
  </si>
  <si>
    <t xml:space="preserve">"Good morning! Quick stretch before you settle into deep work?"</t>
  </si>
  <si>
    <t xml:space="preserve">10:00 AM–2:00 PM</t>
  </si>
  <si>
    <t xml:space="preserve">"Know you're focused — just a quick nudge, it's been 2 hrs. Stretch whenever's natural."</t>
  </si>
  <si>
    <t xml:space="preserve">~2:00 PM</t>
  </si>
  <si>
    <t xml:space="preserve">"Wrapping up this stretch soon — good time for a proper break before your next block?"</t>
  </si>
  <si>
    <t xml:space="preserve">2:00 PM–4:00 PM</t>
  </si>
  <si>
    <t xml:space="preserve">~3:00 PM</t>
  </si>
  <si>
    <t xml:space="preserve">"Quick one — water or a short walk?"</t>
  </si>
  <si>
    <t xml:space="preserve">"Hey — before you head into focus mode again, a quick stretch?"</t>
  </si>
  <si>
    <t xml:space="preserve">4:00 PM–7:00 PM</t>
  </si>
  <si>
    <t xml:space="preserve">~5:00 PM</t>
  </si>
  <si>
    <t xml:space="preserve">"Just flagging — an hour into this stretch. No pressure, whenever works."</t>
  </si>
  <si>
    <t xml:space="preserve">"This has been a long one — worth a proper stand-up break before you close out?"</t>
  </si>
  <si>
    <t xml:space="preserve">7:00 PM–8:30 PM</t>
  </si>
  <si>
    <t xml:space="preserve">"Almost done for the day — quick stretch before you log off?"</t>
  </si>
  <si>
    <t xml:space="preserve">Archana — Work 9:00 AM–7:00 PM</t>
  </si>
  <si>
    <t xml:space="preserve">9:00 AM–12:00 PM</t>
  </si>
  <si>
    <t xml:space="preserve">~10:00 AM</t>
  </si>
  <si>
    <t xml:space="preserve">"Know you're heads-down — just a quick one, it's been an hour. Stretch whenever's natural 🙂"</t>
  </si>
  <si>
    <t xml:space="preserve">~12:10 PM</t>
  </si>
  <si>
    <t xml:space="preserve">"Wrapping up this stretch soon — good time for a proper break before you move on?"</t>
  </si>
  <si>
    <t xml:space="preserve">12:00 PM–7:00 PM</t>
  </si>
  <si>
    <t xml:space="preserve">~1:30 PM</t>
  </si>
  <si>
    <t xml:space="preserve">"Quick stretch or water break?"</t>
  </si>
  <si>
    <t xml:space="preserve">~3:30 PM</t>
  </si>
  <si>
    <t xml:space="preserve">"Hey — been a couple hours, quick one to step away?"</t>
  </si>
  <si>
    <t xml:space="preserve">~5:30 PM</t>
  </si>
  <si>
    <t xml:space="preserve">"Afternoon's been long — good time for a proper walk or stretch?"</t>
  </si>
  <si>
    <t xml:space="preserve">Karishma — Work 11:00 AM–9:30 PM</t>
  </si>
  <si>
    <t xml:space="preserve">11:00 AM–4:30 PM</t>
  </si>
  <si>
    <t xml:space="preserve">~12:30 PM</t>
  </si>
  <si>
    <t xml:space="preserve">"Hey — quick stretch or water before you dive into the afternoon?"</t>
  </si>
  <si>
    <t xml:space="preserve">~2:15 PM</t>
  </si>
  <si>
    <t xml:space="preserve">"Been a couple hours — good time to step away for a sec?"</t>
  </si>
  <si>
    <t xml:space="preserve">"One more before you head into focus mode — quick walk or stretch?"</t>
  </si>
  <si>
    <t xml:space="preserve">4:30 PM–7:30 PM</t>
  </si>
  <si>
    <t xml:space="preserve">~7:15 PM</t>
  </si>
  <si>
    <t xml:space="preserve">"Wrapping up this stretch soon — good time for a proper break before you close it out?"</t>
  </si>
  <si>
    <t xml:space="preserve">7:30 PM–9:30 PM</t>
  </si>
  <si>
    <t xml:space="preserve">~9:00 PM</t>
  </si>
  <si>
    <t xml:space="preserve">Vandita — Work 11:00 AM–8:00 PM</t>
  </si>
  <si>
    <t xml:space="preserve">~12:15 PM</t>
  </si>
  <si>
    <t xml:space="preserve">"Hey — quick stretch or water before your focus block?"</t>
  </si>
  <si>
    <t xml:space="preserve">"Wrapping up soon — good time for a proper break once you're done here?"</t>
  </si>
  <si>
    <t xml:space="preserve">2:00 PM–8:00 PM</t>
  </si>
  <si>
    <t xml:space="preserve">~7:30 PM</t>
  </si>
  <si>
    <t xml:space="preserve">Sushant — Work 1:00 PM–10:30 PM</t>
  </si>
  <si>
    <t xml:space="preserve">1:00 PM–2:30 PM</t>
  </si>
  <si>
    <t xml:space="preserve">2:30 PM–5:00 PM</t>
  </si>
  <si>
    <t xml:space="preserve">~4:45 PM</t>
  </si>
  <si>
    <t xml:space="preserve">5:00 PM–6:00 PM</t>
  </si>
  <si>
    <t xml:space="preserve">~5:45 PM</t>
  </si>
  <si>
    <t xml:space="preserve">"Quick one before your next block — water or a short walk?"</t>
  </si>
  <si>
    <t xml:space="preserve">6:00 PM–8:30 PM</t>
  </si>
  <si>
    <t xml:space="preserve">~8:15 PM</t>
  </si>
  <si>
    <t xml:space="preserve">"This one's been long — good time for a proper stand-up before you close out?"</t>
  </si>
  <si>
    <t xml:space="preserve">8:30 PM–10:30 PM</t>
  </si>
  <si>
    <t xml:space="preserve">~10:00 PM</t>
  </si>
  <si>
    <t xml:space="preserve">Date</t>
  </si>
  <si>
    <t xml:space="preserve">Name</t>
  </si>
  <si>
    <t xml:space="preserve">Focused work time</t>
  </si>
  <si>
    <t xml:space="preserve">Start work Time</t>
  </si>
  <si>
    <t xml:space="preserve">End work time</t>
  </si>
  <si>
    <t xml:space="preserve">Nudge (1/2/3/4)</t>
  </si>
  <si>
    <t xml:space="preserve">Nudge time</t>
  </si>
  <si>
    <t xml:space="preserve">Acted (Y/N)</t>
  </si>
  <si>
    <t xml:space="preserve">Note (If missed, why)</t>
  </si>
  <si>
    <t xml:space="preserve">Archana</t>
  </si>
  <si>
    <t xml:space="preserve">9-12 pm</t>
  </si>
  <si>
    <t xml:space="preserve">Y</t>
  </si>
  <si>
    <t xml:space="preserve">Sushant</t>
  </si>
  <si>
    <t xml:space="preserve">2:30-5:00 pm , 6-8:30 pm</t>
  </si>
  <si>
    <t xml:space="preserve">Resent at 2:31 PM ("Done?"); he reacted 👍 at 2:32 PM</t>
  </si>
  <si>
    <t xml:space="preserve">Vandita</t>
  </si>
  <si>
    <t xml:space="preserve">1-2 pm , 8 pm</t>
  </si>
  <si>
    <t xml:space="preserve">Santosh </t>
  </si>
  <si>
    <t xml:space="preserve">11am-1 pm , 2-6 pm</t>
  </si>
  <si>
    <t xml:space="preserve">Soumya</t>
  </si>
  <si>
    <t xml:space="preserve">10am-2 pm , 4-7 pm</t>
  </si>
  <si>
    <t xml:space="preserve">Karishma</t>
  </si>
  <si>
    <t xml:space="preserve">4:30-7:30 Pm</t>
  </si>
  <si>
    <t xml:space="preserve">N</t>
  </si>
  <si>
    <t xml:space="preserve">"I have back to back calls till 1pm" , did follow up at 1:05 pm </t>
  </si>
  <si>
    <t xml:space="preserve">Confirmed later (2:48 PM) — "No I was continuously sitting on a call"</t>
  </si>
  <si>
    <t xml:space="preserve">Replied "Having snaks" at 5:19 PM</t>
  </si>
  <si>
    <t xml:space="preserve">Replied "Water"</t>
  </si>
  <si>
    <t xml:space="preserve">Replied 2:22 PM — "I just took a break for lunch" (self-initiated, coincided with nudge)</t>
  </si>
  <si>
    <t xml:space="preserve">Initially replied "No" at 9:02 PM, then "Now going for this" + "And a small break" at 9:03 PM — acted late, after prompting</t>
  </si>
  <si>
    <t xml:space="preserve">No response at the time — addressed later (7:24 PM catch-up), said "nothing forced me to miss," but prefers to self-decide breaks rather than wait for a prompt</t>
  </si>
  <si>
    <t xml:space="preserve">Said "No" — declined the break</t>
  </si>
  <si>
    <t xml:space="preserve">Replied "Done" at 4:15 PM</t>
  </si>
  <si>
    <t xml:space="preserve">Bundled into the 8:56 PM check-in; likely covered by his 9:03 PM "Now going for this" reply, but not explicitly confirmed separately from Nudge 4</t>
  </si>
  <si>
    <t xml:space="preserve">No explicit confirmation of action; she gave general feedback instead</t>
  </si>
  <si>
    <t xml:space="preserve">Replied "Done" at 6:01 PM</t>
  </si>
  <si>
    <t xml:space="preserve">Came down for the cab by walking .</t>
  </si>
  <si>
    <t xml:space="preserve">Logging off in 5 min</t>
  </si>
  <si>
    <t xml:space="preserve">Sent, no reply yet — logout nudge</t>
  </si>
  <si>
    <t xml:space="preserve">Replied No</t>
  </si>
  <si>
    <t xml:space="preserve">Replied "Done"</t>
  </si>
  <si>
    <t xml:space="preserve">Took a break for lunch</t>
  </si>
  <si>
    <t xml:space="preserve">Preferred a small walk &amp; water break</t>
  </si>
  <si>
    <t xml:space="preserve">No was into continuous meetings</t>
  </si>
  <si>
    <t xml:space="preserve">Couldnt do . Was in deep work</t>
  </si>
  <si>
    <t xml:space="preserve">Break in form of rest but not movement </t>
  </si>
  <si>
    <t xml:space="preserve">Replied Not possible now</t>
  </si>
  <si>
    <t xml:space="preserve">step away and went for Tea break</t>
  </si>
  <si>
    <t xml:space="preserve">Took at 4 pm</t>
  </si>
  <si>
    <t xml:space="preserve">Asked follow up if all ok and why she is missing ?</t>
  </si>
  <si>
    <t xml:space="preserve">done</t>
  </si>
  <si>
    <t xml:space="preserve">Didn't send any nudge further </t>
  </si>
  <si>
    <t xml:space="preserve">Replied I had a break now</t>
  </si>
  <si>
    <t xml:space="preserve">already done</t>
  </si>
  <si>
    <t xml:space="preserve">Nudges Sent</t>
  </si>
  <si>
    <t xml:space="preserve">Nudges Acted On</t>
  </si>
  <si>
    <t xml:space="preserve">% Acted On</t>
  </si>
  <si>
    <t xml:space="preserve">Comments</t>
  </si>
  <si>
    <t xml:space="preserve">Busy with release Work</t>
  </si>
  <si>
    <t xml:space="preserve">No Reply</t>
  </si>
  <si>
    <t xml:space="preserve">Replied had a very busy day so couldn't follow the nudges </t>
  </si>
  <si>
    <t xml:space="preserve">Replied Sorry I m extremely busy with lots of things around and festival</t>
  </si>
  <si>
    <t xml:space="preserve">Still responding by last day? (Y/N)</t>
  </si>
  <si>
    <t xml:space="preserve">Be honest — by today, were you still reading/acting on my nudges, or had you started tuning them out?</t>
  </si>
  <si>
    <t xml:space="preserve">Did this change anything about how often you actually got up or took breaks, compared to a normal week?</t>
  </si>
  <si>
    <t xml:space="preserve">Did it ever feel naggy or like I was checking up on you, or did it feel more like a helpful heads-up?</t>
  </si>
  <si>
    <t xml:space="preserve">If this were an automatic app instead of me texting you, would you actually want it? Why or why not?</t>
  </si>
  <si>
    <t xml:space="preserve">Out of 5, how useful was this overall?</t>
  </si>
  <si>
    <t xml:space="preserve">Yes I did check notifications</t>
  </si>
  <si>
    <t xml:space="preserve">Yes. This was helpful</t>
  </si>
  <si>
    <t xml:space="preserve">No (For Naggy)</t>
  </si>
  <si>
    <t xml:space="preserve">Yes. The only thing is the phone should be around. I sometimes keep my phone away unconsciously</t>
  </si>
  <si>
    <t xml:space="preserve">Still reading nudges</t>
  </si>
  <si>
    <t xml:space="preserve">A little change. Mostly acting on notification of drinking water and taking walk.</t>
  </si>
  <si>
    <t xml:space="preserve">Mostly it is fine. It doesnot disturb as of now.</t>
  </si>
  <si>
    <t xml:space="preserve">May be yes but not in weekends.</t>
  </si>
  <si>
    <t xml:space="preserve">I was still reading it but not with the same interest. I did some time but not every time as I was busy .</t>
  </si>
  <si>
    <t xml:space="preserve">Not much changes but these were good reminders to look at your self care being at work (it's just 4 days)</t>
  </si>
  <si>
    <t xml:space="preserve">Not naggy but sometimes feels annoying when you are super busy</t>
  </si>
  <si>
    <t xml:space="preserve">It would be better if it is in the app</t>
  </si>
  <si>
    <t xml:space="preserve">Overall these were the good reminders and did help during the times I was not very occupied.</t>
  </si>
  <si>
    <t xml:space="preserve">I started to tuning them like why no much nudges today</t>
  </si>
  <si>
    <t xml:space="preserve">Yes, i usually did not take break for every 1 or 2 hours in deep focus time</t>
  </si>
  <si>
    <t xml:space="preserve">Feel too many nudges in deep focus time would be naggy as our concentration will be distracted 
Also just a suggestion usually when our eyes feel strain we normally look out somewhere outside or just getup or change the sitting position</t>
  </si>
  <si>
    <t xml:space="preserve">May be yes if we are really worried about health or any major health issues we keep alarm on frequent intervals or to remind something like tablets or meetings in that perspective automatic app should be helpful</t>
  </si>
  <si>
    <t xml:space="preserve">Yes, I was still reading and acting on your nudges. They were a good reminder and helped me stay mindful about taking breaks.</t>
  </si>
  <si>
    <t xml:space="preserve">Yes, definitely. I found myself getting up and taking short breaks more often than I normally would, so it did make a difference to my routine.</t>
  </si>
  <si>
    <t xml:space="preserve">Not at all. It felt more like a helpful heads-up rather than being naggy or like someone was checking up on me. The timing and tone made it easy to follow.</t>
  </si>
  <si>
    <t xml:space="preserve">Yes, I would definitely consider using it as an automatic app. Having timely reminders throughout the day would be useful, especially when I’m focused on work and lose track of time. </t>
  </si>
  <si>
    <t xml:space="preserve">The key would be keeping the reminders simple and not too frequent.</t>
  </si>
  <si>
    <t xml:space="preserve">Nudge Time</t>
  </si>
  <si>
    <t xml:space="preserve">Nudge Given (summary)</t>
  </si>
  <si>
    <t xml:space="preserve">Reply Time</t>
  </si>
  <si>
    <t xml:space="preserve">Reply Text</t>
  </si>
  <si>
    <t xml:space="preserve">Action Done (Y/N/Unclear)</t>
  </si>
  <si>
    <t xml:space="preserve">Notes</t>
  </si>
  <si>
    <t xml:space="preserve">How this tab was built</t>
  </si>
  <si>
    <t xml:space="preserve">01-Sep-2026</t>
  </si>
  <si>
    <t xml:space="preserve">10:21 AM</t>
  </si>
  <si>
    <t xml:space="preserve">Know you're heads-down - stretch, ~1hr in</t>
  </si>
  <si>
    <t xml:space="preserve">👍</t>
  </si>
  <si>
    <t xml:space="preserve">Built directly from the raw WhatsApp chat exports for all 6 participants (Day 0-4), not from the earlier planned schedule.</t>
  </si>
  <si>
    <t xml:space="preserve">1:28 PM</t>
  </si>
  <si>
    <t xml:space="preserve">Quick walk/water/eye relax (look at distant object)</t>
  </si>
  <si>
    <t xml:space="preserve">-</t>
  </si>
  <si>
    <t xml:space="preserve">Unclear</t>
  </si>
  <si>
    <t xml:space="preserve">Batch-confirmed later: only 2 of nudges 2-6 followed, unspecified which (see 9:42 PM note)</t>
  </si>
  <si>
    <t xml:space="preserve">One row = one distinct nudge sent. Reply time/text is the participant's actual response where one exists.</t>
  </si>
  <si>
    <t xml:space="preserve">3:42 PM</t>
  </si>
  <si>
    <t xml:space="preserve">Check on prior + couple hrs, quick break to step away</t>
  </si>
  <si>
    <t xml:space="preserve">Same batch note as above</t>
  </si>
  <si>
    <t xml:space="preserve">"Y" = confirmed done (explicit reply, emoji, or batch end-of-day confirmation). "N" = confirmed missed or no reply logged. "Unclear" = a batch reply covered only some of a block of nudges without specifying which ones.</t>
  </si>
  <si>
    <t xml:space="preserve">4:39 PM</t>
  </si>
  <si>
    <t xml:space="preserve">Quick check - 👍 if managed either of last two</t>
  </si>
  <si>
    <t xml:space="preserve">Where a person confirmed multiple nudges in one batched message (e.g. "replied with thumbs up for all the nudges"), each underlying nudge is still listed as its own row, with the batch quote repeated in Notes so the source is traceable.</t>
  </si>
  <si>
    <t xml:space="preserve">5:42 PM</t>
  </si>
  <si>
    <t xml:space="preserve">Afternoon's been long - proper walk or stretch</t>
  </si>
  <si>
    <t xml:space="preserve">9:08 PM</t>
  </si>
  <si>
    <t xml:space="preserve">Almost done for day - quick stretch before logoff</t>
  </si>
  <si>
    <t xml:space="preserve">9:42 PM</t>
  </si>
  <si>
    <t xml:space="preserve">(Followed two nudges and replied with 👍)</t>
  </si>
  <si>
    <t xml:space="preserve">Batch ack covers 2 of nudges 2-6; she did not specify which two</t>
  </si>
  <si>
    <t xml:space="preserve">02-Sep-2026</t>
  </si>
  <si>
    <t xml:space="preserve">10:18 AM</t>
  </si>
  <si>
    <t xml:space="preserve">Hour in - stretch or eye break</t>
  </si>
  <si>
    <t xml:space="preserve">Batch-confirmed: only 2 of the 6 Day-2 nudges followed, unspecified which</t>
  </si>
  <si>
    <t xml:space="preserve">12:05 PM</t>
  </si>
  <si>
    <t xml:space="preserve">Focus block wrapping up - proper pause, stretch/walk</t>
  </si>
  <si>
    <t xml:space="preserve">Same batch note</t>
  </si>
  <si>
    <t xml:space="preserve">1:54 PM</t>
  </si>
  <si>
    <t xml:space="preserve">Hope in sync - water, walk, or look away</t>
  </si>
  <si>
    <t xml:space="preserve">3:30 PM</t>
  </si>
  <si>
    <t xml:space="preserve">Couple hrs hooked - seated stretches (neck rolls etc.)</t>
  </si>
  <si>
    <t xml:space="preserve">Long time no see - reset, stretch or short walk</t>
  </si>
  <si>
    <t xml:space="preserve">7:34 PM</t>
  </si>
  <si>
    <t xml:space="preserve">Almost logout - one last stretch</t>
  </si>
  <si>
    <t xml:space="preserve">Batch ack covers 2 of 6; unspecified which</t>
  </si>
  <si>
    <t xml:space="preserve">03-Sep-2026</t>
  </si>
  <si>
    <t xml:space="preserve">10:31 AM</t>
  </si>
  <si>
    <t xml:space="preserve">More than an hour - unfold, stretch or walk</t>
  </si>
  <si>
    <t xml:space="preserve">"No response received for any nudges" (explicit, confirmed by her silence to direct ask at 9:22 PM)</t>
  </si>
  <si>
    <t xml:space="preserve">12:27 PM</t>
  </si>
  <si>
    <t xml:space="preserve">Focus block's done - move with small break</t>
  </si>
  <si>
    <t xml:space="preserve">Same</t>
  </si>
  <si>
    <t xml:space="preserve">1:33 PM</t>
  </si>
  <si>
    <t xml:space="preserve">Screen break - your eyes will thank you</t>
  </si>
  <si>
    <t xml:space="preserve">3:33 PM</t>
  </si>
  <si>
    <t xml:space="preserve">Couple hrs hooked - seated stretches</t>
  </si>
  <si>
    <t xml:space="preserve">5:31 PM</t>
  </si>
  <si>
    <t xml:space="preserve">Check on prior + couple hrs quick break</t>
  </si>
  <si>
    <t xml:space="preserve">7:22 PM</t>
  </si>
  <si>
    <t xml:space="preserve">Nearly done - one last stretch (+explicit ask to mark done ones)</t>
  </si>
  <si>
    <t xml:space="preserve">Zero response all day; confirmed by total silence to her 9:22 PM direct check-in ask</t>
  </si>
  <si>
    <t xml:space="preserve">04-Sep-2026</t>
  </si>
  <si>
    <t xml:space="preserve">12:09 PM</t>
  </si>
  <si>
    <t xml:space="preserve">She cited Day-4 release workload at 12:05 PM before this; no further replies logged</t>
  </si>
  <si>
    <t xml:space="preserve">1:41 PM</t>
  </si>
  <si>
    <t xml:space="preserve">Screen break for sometime</t>
  </si>
  <si>
    <t xml:space="preserve">3:01 PM</t>
  </si>
  <si>
    <t xml:space="preserve">4:42 PM</t>
  </si>
  <si>
    <t xml:space="preserve">Quite a while in ofc tasks - quick move or water</t>
  </si>
  <si>
    <t xml:space="preserve">7:08 PM</t>
  </si>
  <si>
    <t xml:space="preserve">Busy day - nearly done, one last stretch</t>
  </si>
  <si>
    <t xml:space="preserve">Feedback questions sent after; reply pending at time of this log</t>
  </si>
  <si>
    <t xml:space="preserve">12:16 PM</t>
  </si>
  <si>
    <t xml:space="preserve">Quick stretch or water/tea/coffee before afternoon</t>
  </si>
  <si>
    <t xml:space="preserve">"I have back to back calls till 1pm"</t>
  </si>
  <si>
    <t xml:space="preserve">Blocked by calls</t>
  </si>
  <si>
    <t xml:space="preserve">1:05 PM</t>
  </si>
  <si>
    <t xml:space="preserve">Calls done? Good time for stretch/water/coffee (catch-up)</t>
  </si>
  <si>
    <t xml:space="preserve">2:48 PM</t>
  </si>
  <si>
    <t xml:space="preserve">"No I was continuously sitting on a call"</t>
  </si>
  <si>
    <t xml:space="preserve">Confirmed missed after a delayed follow-up exchange</t>
  </si>
  <si>
    <t xml:space="preserve">2:21 PM</t>
  </si>
  <si>
    <t xml:space="preserve">Also: glued to system a while - step away for a bit?</t>
  </si>
  <si>
    <t xml:space="preserve">2:22 PM / 2:47 PM</t>
  </si>
  <si>
    <t xml:space="preserve">"I just took a break for lunch" / "Yes"</t>
  </si>
  <si>
    <t xml:space="preserve">Self-initiated lunch break coincided with this nudge</t>
  </si>
  <si>
    <t xml:space="preserve">4:03 PM</t>
  </si>
  <si>
    <t xml:space="preserve">One before focus mode - quick walk or water/coffee</t>
  </si>
  <si>
    <t xml:space="preserve">4:15 PM</t>
  </si>
  <si>
    <t xml:space="preserve">"Done"</t>
  </si>
  <si>
    <t xml:space="preserve">5:40 PM</t>
  </si>
  <si>
    <t xml:space="preserve">Know you're heads-down, ~hour in - stretch whenever natural</t>
  </si>
  <si>
    <t xml:space="preserve">6:01 PM</t>
  </si>
  <si>
    <t xml:space="preserve">8:38 PM</t>
  </si>
  <si>
    <t xml:space="preserve">No reply logged</t>
  </si>
  <si>
    <t xml:space="preserve">12:18 PM</t>
  </si>
  <si>
    <t xml:space="preserve">Quick stretch/water before afternoon (+ seated-stretch note added for calls)</t>
  </si>
  <si>
    <t xml:space="preserve">12:59 PM</t>
  </si>
  <si>
    <t xml:space="preserve">First day the seated/on-call stretch fallback was introduced</t>
  </si>
  <si>
    <t xml:space="preserve">1:56 PM</t>
  </si>
  <si>
    <t xml:space="preserve">Been a bit - good time to step away for a moment?</t>
  </si>
  <si>
    <t xml:space="preserve">2:58 PM</t>
  </si>
  <si>
    <t xml:space="preserve">"Took a break for lunch"</t>
  </si>
  <si>
    <t xml:space="preserve">2:59 PM</t>
  </si>
  <si>
    <t xml:space="preserve">Don't forget short walk after lunch before starting work</t>
  </si>
  <si>
    <t xml:space="preserve">3:24 PM</t>
  </si>
  <si>
    <t xml:space="preserve">5:34 PM</t>
  </si>
  <si>
    <t xml:space="preserve">Deep focus mode on - tiny pause, green tea break?</t>
  </si>
  <si>
    <t xml:space="preserve">7:35 PM</t>
  </si>
  <si>
    <t xml:space="preserve">Wrapping up this stretch - proper little break before close out</t>
  </si>
  <si>
    <t xml:space="preserve">8:30 PM</t>
  </si>
  <si>
    <t xml:space="preserve">12:26 PM</t>
  </si>
  <si>
    <t xml:space="preserve">30 sec for yourself - quick stretch if on calls</t>
  </si>
  <si>
    <t xml:space="preserve">Confirmed missed via her 11:28 PM message: "had a very busy day today, couldn't follow the nudges"</t>
  </si>
  <si>
    <t xml:space="preserve">2:09 PM</t>
  </si>
  <si>
    <t xml:space="preserve">Glued to system a while - step away for sometime?</t>
  </si>
  <si>
    <t xml:space="preserve">4:21 PM</t>
  </si>
  <si>
    <t xml:space="preserve">5:33 PM</t>
  </si>
  <si>
    <t xml:space="preserve">An hour in focus mode - seated stretches if on call</t>
  </si>
  <si>
    <t xml:space="preserve">7:19 PM</t>
  </si>
  <si>
    <t xml:space="preserve">Focused session ending - stand-up, walk, neck stretch</t>
  </si>
  <si>
    <t xml:space="preserve">8:45 PM</t>
  </si>
  <si>
    <t xml:space="preserve">Close to wrapping up day - proper little stretch</t>
  </si>
  <si>
    <t xml:space="preserve">11:28 PM</t>
  </si>
  <si>
    <t xml:space="preserve">"I had a very busy day today. Couldn't follow the nudges"</t>
  </si>
  <si>
    <t xml:space="preserve">Explicit confirmation covering the entire day</t>
  </si>
  <si>
    <t xml:space="preserve">12:15 PM</t>
  </si>
  <si>
    <t xml:space="preserve">Quick stretch/water/tea/coffee before noon mode</t>
  </si>
  <si>
    <t xml:space="preserve">12:34 PM</t>
  </si>
  <si>
    <t xml:space="preserve">1:27 PM</t>
  </si>
  <si>
    <t xml:space="preserve">Neck relaxation - up/down, left/right</t>
  </si>
  <si>
    <t xml:space="preserve">No distinct reply</t>
  </si>
  <si>
    <t xml:space="preserve">2:42 PM</t>
  </si>
  <si>
    <t xml:space="preserve">In deep sync with work - lunch break + short walk?</t>
  </si>
  <si>
    <t xml:space="preserve">3:50 PM</t>
  </si>
  <si>
    <t xml:space="preserve">"I had a break now"</t>
  </si>
  <si>
    <t xml:space="preserve">5:26 PM</t>
  </si>
  <si>
    <t xml:space="preserve">5:50 PM</t>
  </si>
  <si>
    <t xml:space="preserve">7:42 PM</t>
  </si>
  <si>
    <t xml:space="preserve">Wrapping up this stretch - proper little break</t>
  </si>
  <si>
    <t xml:space="preserve">9:49 PM</t>
  </si>
  <si>
    <t xml:space="preserve">Almost done for day - quick little stretch before logoff</t>
  </si>
  <si>
    <t xml:space="preserve">9:51 PM</t>
  </si>
  <si>
    <t xml:space="preserve">"Sure rishu sorry I'm extremely busy with lots of things around and festival"</t>
  </si>
  <si>
    <t xml:space="preserve">Explicit decline citing festival workload; feedback questions sent, reply pending</t>
  </si>
  <si>
    <t xml:space="preserve">Santosh</t>
  </si>
  <si>
    <t xml:space="preserve">12:06 PM</t>
  </si>
  <si>
    <t xml:space="preserve">Heads-down, ~hour - stretch whenever natural gap</t>
  </si>
  <si>
    <t xml:space="preserve">10:58 PM</t>
  </si>
  <si>
    <t xml:space="preserve">"(Replied with 👍 for all the nudges)" - batch</t>
  </si>
  <si>
    <t xml:space="preserve">Batch-confirmed end-of-day</t>
  </si>
  <si>
    <t xml:space="preserve">1:40 PM</t>
  </si>
  <si>
    <t xml:space="preserve">Quick stretch or water before diving back into focus</t>
  </si>
  <si>
    <t xml:space="preserve">Batch 👍</t>
  </si>
  <si>
    <t xml:space="preserve">Batch-confirmed</t>
  </si>
  <si>
    <t xml:space="preserve">3:38 PM</t>
  </si>
  <si>
    <t xml:space="preserve">2 hrs in - pause point, walk or eye break</t>
  </si>
  <si>
    <t xml:space="preserve">6:03 PM</t>
  </si>
  <si>
    <t xml:space="preserve">Great focused session - stand-up, walk, neck stretch</t>
  </si>
  <si>
    <t xml:space="preserve">8:36 PM</t>
  </si>
  <si>
    <t xml:space="preserve">Last one for day - step away before logoff</t>
  </si>
  <si>
    <t xml:space="preserve">12:08 PM</t>
  </si>
  <si>
    <t xml:space="preserve">Hour's gone by - stretch break when you get a min</t>
  </si>
  <si>
    <t xml:space="preserve">1:47 PM</t>
  </si>
  <si>
    <t xml:space="preserve">Nice long stretch coming - short walk and reset</t>
  </si>
  <si>
    <t xml:space="preserve">4:23 PM</t>
  </si>
  <si>
    <t xml:space="preserve">More than 2 hrs deep - seated stretches (neck rolls etc.)</t>
  </si>
  <si>
    <t xml:space="preserve">5:58 PM</t>
  </si>
  <si>
    <t xml:space="preserve">Deep-focus almost done - stand, stretch legs, beverage break</t>
  </si>
  <si>
    <t xml:space="preserve">7:31 PM</t>
  </si>
  <si>
    <t xml:space="preserve">Nearly done - one last neck stretch (up/down, left/right)</t>
  </si>
  <si>
    <t xml:space="preserve">12:25 PM</t>
  </si>
  <si>
    <t xml:space="preserve">Legs still attached? Stretch time when you get a chance</t>
  </si>
  <si>
    <t xml:space="preserve">1:34 PM</t>
  </si>
  <si>
    <t xml:space="preserve">Water &gt; coffee right now - quick water break</t>
  </si>
  <si>
    <t xml:space="preserve">4:22 PM</t>
  </si>
  <si>
    <t xml:space="preserve">More than 2 hrs in - pause point, walk or eye break</t>
  </si>
  <si>
    <t xml:space="preserve">5:59 PM</t>
  </si>
  <si>
    <t xml:space="preserve">Focused session approaching end - stand-up, walk, neck stretch</t>
  </si>
  <si>
    <t xml:space="preserve">12:10 PM</t>
  </si>
  <si>
    <t xml:space="preserve">Heads-down, ~hour - no pressure, stretch when natural</t>
  </si>
  <si>
    <t xml:space="preserve">7:49 PM</t>
  </si>
  <si>
    <t xml:space="preserve">"(Replied with 👍 for all except the last nudge)" - batch</t>
  </si>
  <si>
    <t xml:space="preserve">1:43 PM</t>
  </si>
  <si>
    <t xml:space="preserve">Lunch break followed by quick small walk before focus</t>
  </si>
  <si>
    <t xml:space="preserve">4:40 PM</t>
  </si>
  <si>
    <t xml:space="preserve">More than 2 hrs deep - seated stretches</t>
  </si>
  <si>
    <t xml:space="preserve">Engaging focused session - stand-up, walk, free legs</t>
  </si>
  <si>
    <t xml:space="preserve">Busy day - nearly done, one last stretch before logoff</t>
  </si>
  <si>
    <t xml:space="preserve">Excluded from batch 👍</t>
  </si>
  <si>
    <t xml:space="preserve">The one nudge explicitly NOT confirmed that day; feedback sent, reply pending</t>
  </si>
  <si>
    <t xml:space="preserve">10:20 AM</t>
  </si>
  <si>
    <t xml:space="preserve">Quick stretch before you settle into deep work</t>
  </si>
  <si>
    <t xml:space="preserve">👍🏻</t>
  </si>
  <si>
    <t xml:space="preserve">Focused ~2 hrs - stretch or eye rest (distant object)</t>
  </si>
  <si>
    <t xml:space="preserve">2:25 PM</t>
  </si>
  <si>
    <t xml:space="preserve">Great engaging session - proper break, movement/lunch</t>
  </si>
  <si>
    <t xml:space="preserve">4:01 PM</t>
  </si>
  <si>
    <t xml:space="preserve">Water break or short walk before entering focus time</t>
  </si>
  <si>
    <t xml:space="preserve">4:02 PM</t>
  </si>
  <si>
    <t xml:space="preserve">"No"</t>
  </si>
  <si>
    <t xml:space="preserve">5:25 PM</t>
  </si>
  <si>
    <t xml:space="preserve">1.5 hrs in - no pressure, eye break or stretch</t>
  </si>
  <si>
    <t xml:space="preserve">8:36 PM / 8:37 PM</t>
  </si>
  <si>
    <t xml:space="preserve">👍🏻 / "Will be logging off in 5 mins"</t>
  </si>
  <si>
    <t xml:space="preserve">10:02 AM</t>
  </si>
  <si>
    <t xml:space="preserve">Before day picks up pace - a quick stretch?</t>
  </si>
  <si>
    <t xml:space="preserve">10:57 AM</t>
  </si>
  <si>
    <t xml:space="preserve">Eye exercise (distant object) or water before diving back</t>
  </si>
  <si>
    <t xml:space="preserve">11:00 AM</t>
  </si>
  <si>
    <t xml:space="preserve">"Ok"</t>
  </si>
  <si>
    <t xml:space="preserve">1:57 PM</t>
  </si>
  <si>
    <t xml:space="preserve">Long stretch of work - pause, movement, lunch</t>
  </si>
  <si>
    <t xml:space="preserve">3:32 PM</t>
  </si>
  <si>
    <t xml:space="preserve">5:28 PM</t>
  </si>
  <si>
    <t xml:space="preserve">Block wrapping up - proper break, snacks/water/walk</t>
  </si>
  <si>
    <t xml:space="preserve">7:59 PM</t>
  </si>
  <si>
    <t xml:space="preserve">"No was into continuous meetings"</t>
  </si>
  <si>
    <t xml:space="preserve">Delayed reply - meetings blocked the break</t>
  </si>
  <si>
    <t xml:space="preserve">7:32 PM</t>
  </si>
  <si>
    <t xml:space="preserve">Nearly done - one last stretch</t>
  </si>
  <si>
    <t xml:space="preserve">👍🏻 / "Will logoff by 8.15"</t>
  </si>
  <si>
    <t xml:space="preserve">9:50 AM</t>
  </si>
  <si>
    <t xml:space="preserve">Day's just started - loosen up a bit before it does?</t>
  </si>
  <si>
    <t xml:space="preserve">9:55 AM</t>
  </si>
  <si>
    <t xml:space="preserve">10:45 AM</t>
  </si>
  <si>
    <t xml:space="preserve">Focused work round the corner - quick stretch</t>
  </si>
  <si>
    <t xml:space="preserve">Eyes doing okay? Look at something far away</t>
  </si>
  <si>
    <t xml:space="preserve">Quick reset - water, walk, whatever moves you</t>
  </si>
  <si>
    <t xml:space="preserve">4:54 PM</t>
  </si>
  <si>
    <t xml:space="preserve">"No" (3:32 PM) then deferred to 4 PM, confirmed "Ya" at 4:54 PM</t>
  </si>
  <si>
    <t xml:space="preserve">Deferred but confirmed done later</t>
  </si>
  <si>
    <t xml:space="preserve">Deep focus almost over - no pressure, eye break or stretch</t>
  </si>
  <si>
    <t xml:space="preserve">7:15 PM</t>
  </si>
  <si>
    <t xml:space="preserve">2:13 PM</t>
  </si>
  <si>
    <t xml:space="preserve">Deep sync with work - lunch break + quick small walk?</t>
  </si>
  <si>
    <t xml:space="preserve">4:41 PM</t>
  </si>
  <si>
    <t xml:space="preserve">Quite a long time deep in work - seated stretches</t>
  </si>
  <si>
    <t xml:space="preserve">Quick stretch or water before your focus block</t>
  </si>
  <si>
    <t xml:space="preserve">3:36 PM</t>
  </si>
  <si>
    <t xml:space="preserve">Heads-down, ~hour in - stretch whenever's natural</t>
  </si>
  <si>
    <t xml:space="preserve">No distinct reply logged</t>
  </si>
  <si>
    <t xml:space="preserve">5:04 PM</t>
  </si>
  <si>
    <t xml:space="preserve">Great focused session - proper break or snacks</t>
  </si>
  <si>
    <t xml:space="preserve">5:19 PM</t>
  </si>
  <si>
    <t xml:space="preserve">"Having snaks"</t>
  </si>
  <si>
    <t xml:space="preserve">6:12 PM</t>
  </si>
  <si>
    <t xml:space="preserve">Quick one before next block - water or short walk</t>
  </si>
  <si>
    <t xml:space="preserve">9:03 PM</t>
  </si>
  <si>
    <t xml:space="preserve">"Now going for this" + "And a small break"</t>
  </si>
  <si>
    <t xml:space="preserve">Delayed ~3 hrs; initially said "No"/"Into work" at 9:02 PM before reversing</t>
  </si>
  <si>
    <t xml:space="preserve">8:39 PM</t>
  </si>
  <si>
    <t xml:space="preserve">This one's been long - proper stand-up before close out</t>
  </si>
  <si>
    <t xml:space="preserve">Bundled with 6:12 PM catch-up reply above</t>
  </si>
  <si>
    <t xml:space="preserve">Bundled reply - not separately confirmed</t>
  </si>
  <si>
    <t xml:space="preserve">10:36 PM</t>
  </si>
  <si>
    <t xml:space="preserve">10:43 PM</t>
  </si>
  <si>
    <t xml:space="preserve">"No" then "Leaving for the day" then "Yes" (to walk-to-cab reframe)</t>
  </si>
  <si>
    <t xml:space="preserve">Counted walk to cab as the movement, per his own "Yes"</t>
  </si>
  <si>
    <t xml:space="preserve">1:38 PM</t>
  </si>
  <si>
    <t xml:space="preserve">Good to know (re: lunch) - short walk after, drop a 👍</t>
  </si>
  <si>
    <t xml:space="preserve">No explicit confirmation of the walk specifically</t>
  </si>
  <si>
    <t xml:space="preserve">Eye exercise (distant object), water break, or stand+free legs</t>
  </si>
  <si>
    <t xml:space="preserve">Couple hrs into work - short break, snacks/tea/coffee?</t>
  </si>
  <si>
    <t xml:space="preserve">"Yeah. May be will have water" + "And a small walk"</t>
  </si>
  <si>
    <t xml:space="preserve">More than an hour into this one - no pressure, move when can</t>
  </si>
  <si>
    <t xml:space="preserve">9:11 PM</t>
  </si>
  <si>
    <t xml:space="preserve">"Couldnt do. Was in deep work"</t>
  </si>
  <si>
    <t xml:space="preserve">8:57 PM</t>
  </si>
  <si>
    <t xml:space="preserve">Couple hrs hooked this evening - seated stretches</t>
  </si>
  <si>
    <t xml:space="preserve">"Doing some rest"</t>
  </si>
  <si>
    <t xml:space="preserve">Rest, not movement - counted as a break taken, flagged as partial</t>
  </si>
  <si>
    <t xml:space="preserve">Before you lock in - quick move or water break</t>
  </si>
  <si>
    <t xml:space="preserve">2:33 PM / 2:34 PM</t>
  </si>
  <si>
    <t xml:space="preserve">"Doing lunch" then "Not possible now" (re: walk after)</t>
  </si>
  <si>
    <t xml:space="preserve">3:31 PM</t>
  </si>
  <si>
    <t xml:space="preserve">5:03 PM</t>
  </si>
  <si>
    <t xml:space="preserve">5:06 PM</t>
  </si>
  <si>
    <t xml:space="preserve">"Taking tea break"</t>
  </si>
  <si>
    <t xml:space="preserve">In focus mode - seated stretches if on a call</t>
  </si>
  <si>
    <t xml:space="preserve">8:44 PM</t>
  </si>
  <si>
    <t xml:space="preserve">10:04 PM</t>
  </si>
  <si>
    <t xml:space="preserve">Nearly done - one last stretch (neck sideways / small walk)</t>
  </si>
  <si>
    <t xml:space="preserve">2:32 PM</t>
  </si>
  <si>
    <t xml:space="preserve">7:09 PM</t>
  </si>
  <si>
    <t xml:space="preserve">"Already done"</t>
  </si>
  <si>
    <t xml:space="preserve">Feedback questions sent after, reply pending</t>
  </si>
  <si>
    <t xml:space="preserve">12:14 PM</t>
  </si>
  <si>
    <t xml:space="preserve">Batch-confirmed: "(Replied with thumbs up for all the nudges)"</t>
  </si>
  <si>
    <t xml:space="preserve">Wrapping up focus soon - proper break, walk + eye break</t>
  </si>
  <si>
    <t xml:space="preserve">3:35 PM</t>
  </si>
  <si>
    <t xml:space="preserve">Quick one - water or a short walk?</t>
  </si>
  <si>
    <t xml:space="preserve">3:37 PM</t>
  </si>
  <si>
    <t xml:space="preserve">"Water"</t>
  </si>
  <si>
    <t xml:space="preserve">Individually confirmed</t>
  </si>
  <si>
    <t xml:space="preserve">5:41 PM</t>
  </si>
  <si>
    <t xml:space="preserve">Couple of hours - good time to step away for sometime</t>
  </si>
  <si>
    <t xml:space="preserve">7:24 PM</t>
  </si>
  <si>
    <t xml:space="preserve">Check prior + almost done - last stretch before logoff</t>
  </si>
  <si>
    <t xml:space="preserve">7:27-7:28 PM</t>
  </si>
  <si>
    <t xml:space="preserve">"Nothing forced me to miss. But it's difficult to clock in every minute... I take a break when I feel like it, instead of waiting for some application to tell me"</t>
  </si>
  <si>
    <t xml:space="preserve">Batch 👍 given despite explicit pushback on the prescriptive method - flagged in Theme 3 (Autonomy)</t>
  </si>
  <si>
    <t xml:space="preserve">Before heads-down - quick stretch or water</t>
  </si>
  <si>
    <t xml:space="preserve">Batch note: "(Followed 3 nudges)" out of 5 - unspecified which 3</t>
  </si>
  <si>
    <t xml:space="preserve">Focus block about to wrap up - good time for proper break</t>
  </si>
  <si>
    <t xml:space="preserve">3:20 PM</t>
  </si>
  <si>
    <t xml:space="preserve">Checking if hooked in front of screen - seated stretches offered</t>
  </si>
  <si>
    <t xml:space="preserve">5:29 PM</t>
  </si>
  <si>
    <t xml:space="preserve">8:01 PM</t>
  </si>
  <si>
    <t xml:space="preserve">12:07 PM</t>
  </si>
  <si>
    <t xml:space="preserve">Curious - has your chair missed you at all today?</t>
  </si>
  <si>
    <t xml:space="preserve">"(No response received)" - confirmed by silence to her direct 9:16 PM check-in ask</t>
  </si>
  <si>
    <t xml:space="preserve">1:55 PM</t>
  </si>
  <si>
    <t xml:space="preserve">Focused time about to close - screen break, eyes will thank you</t>
  </si>
  <si>
    <t xml:space="preserve">3:26 PM</t>
  </si>
  <si>
    <t xml:space="preserve">Afternoon vibes check - water, walk, or full send on work?</t>
  </si>
  <si>
    <t xml:space="preserve">5:32 PM</t>
  </si>
  <si>
    <t xml:space="preserve">7:13 PM</t>
  </si>
  <si>
    <t xml:space="preserve">Zero replies all day despite a direct check-in ask at 9:16 PM</t>
  </si>
  <si>
    <t xml:space="preserve">~11:30 AM (approx.)</t>
  </si>
  <si>
    <t xml:space="preserve">Combined check-in + "quick stretch or water/tea/coffee if hooked with system for long"</t>
  </si>
  <si>
    <t xml:space="preserve">No reply; "(Stopped sending nudges as no response)" - test discontinued for her after this single attempt</t>
  </si>
</sst>
</file>

<file path=xl/styles.xml><?xml version="1.0" encoding="utf-8"?>
<styleSheet xmlns="http://schemas.openxmlformats.org/spreadsheetml/2006/main">
  <numFmts count="4">
    <numFmt numFmtId="164" formatCode="General"/>
    <numFmt numFmtId="165" formatCode="d\-mmm\-yy"/>
    <numFmt numFmtId="166" formatCode="h:mm\ AM/PM"/>
    <numFmt numFmtId="167" formatCode="0%"/>
  </numFmts>
  <fonts count="16">
    <font>
      <sz val="11"/>
      <color theme="1"/>
      <name val="Calibri"/>
      <family val="2"/>
      <charset val="1"/>
    </font>
    <font>
      <sz val="10"/>
      <name val="Arial"/>
      <family val="0"/>
    </font>
    <font>
      <sz val="10"/>
      <name val="Arial"/>
      <family val="0"/>
    </font>
    <font>
      <sz val="10"/>
      <name val="Arial"/>
      <family val="0"/>
    </font>
    <font>
      <b val="true"/>
      <sz val="11"/>
      <color theme="1"/>
      <name val="Calibri"/>
      <family val="2"/>
      <charset val="1"/>
    </font>
    <font>
      <b val="true"/>
      <sz val="11"/>
      <color rgb="FFFFFFFF"/>
      <name val="Arial"/>
      <family val="2"/>
      <charset val="1"/>
    </font>
    <font>
      <b val="true"/>
      <sz val="11"/>
      <name val="Arial"/>
      <family val="2"/>
      <charset val="1"/>
    </font>
    <font>
      <i val="true"/>
      <sz val="10"/>
      <color rgb="FF808080"/>
      <name val="Arial"/>
      <family val="2"/>
      <charset val="1"/>
    </font>
    <font>
      <i val="true"/>
      <sz val="10"/>
      <name val="Arial"/>
      <family val="2"/>
      <charset val="1"/>
    </font>
    <font>
      <sz val="10"/>
      <name val="Arial"/>
      <family val="2"/>
      <charset val="1"/>
    </font>
    <font>
      <i val="true"/>
      <sz val="9"/>
      <color rgb="FF595959"/>
      <name val="Arial"/>
      <family val="2"/>
      <charset val="1"/>
    </font>
    <font>
      <i val="true"/>
      <sz val="12"/>
      <name val="Arial"/>
      <family val="2"/>
      <charset val="1"/>
    </font>
    <font>
      <b val="true"/>
      <sz val="11"/>
      <color rgb="FFFFFFFF"/>
      <name val="Arial"/>
      <family val="0"/>
      <charset val="1"/>
    </font>
    <font>
      <b val="true"/>
      <sz val="11"/>
      <name val="Arial"/>
      <family val="0"/>
      <charset val="1"/>
    </font>
    <font>
      <sz val="9.5"/>
      <name val="Arial"/>
      <family val="0"/>
      <charset val="1"/>
    </font>
    <font>
      <i val="true"/>
      <sz val="9"/>
      <color rgb="FF595959"/>
      <name val="Arial"/>
      <family val="0"/>
      <charset val="1"/>
    </font>
  </fonts>
  <fills count="8">
    <fill>
      <patternFill patternType="none"/>
    </fill>
    <fill>
      <patternFill patternType="gray125"/>
    </fill>
    <fill>
      <patternFill patternType="solid">
        <fgColor rgb="FF2F5496"/>
        <bgColor rgb="FF595959"/>
      </patternFill>
    </fill>
    <fill>
      <patternFill patternType="solid">
        <fgColor rgb="FFFFFF00"/>
        <bgColor rgb="FFFFFF00"/>
      </patternFill>
    </fill>
    <fill>
      <patternFill patternType="solid">
        <fgColor rgb="FFF2F2F2"/>
        <bgColor rgb="FFFFFFFF"/>
      </patternFill>
    </fill>
    <fill>
      <patternFill patternType="solid">
        <fgColor rgb="FFC6EFCE"/>
        <bgColor rgb="FFD9D9D9"/>
      </patternFill>
    </fill>
    <fill>
      <patternFill patternType="solid">
        <fgColor rgb="FFFFEB9C"/>
        <bgColor rgb="FFF2F2F2"/>
      </patternFill>
    </fill>
    <fill>
      <patternFill patternType="solid">
        <fgColor rgb="FFFFC7CE"/>
        <bgColor rgb="FFD9D9D9"/>
      </patternFill>
    </fill>
  </fills>
  <borders count="10">
    <border diagonalUp="false" diagonalDown="false">
      <left/>
      <right/>
      <top/>
      <bottom/>
      <diagonal/>
    </border>
    <border diagonalUp="false" diagonalDown="false">
      <left style="thin"/>
      <right style="thin"/>
      <top style="thin"/>
      <bottom style="thin"/>
      <diagonal/>
    </border>
    <border diagonalUp="false" diagonalDown="false">
      <left/>
      <right/>
      <top/>
      <bottom style="thin"/>
      <diagonal/>
    </border>
    <border diagonalUp="false" diagonalDown="false">
      <left style="thin"/>
      <right style="thin"/>
      <top style="thin"/>
      <bottom/>
      <diagonal/>
    </border>
    <border diagonalUp="false" diagonalDown="false">
      <left/>
      <right style="thin">
        <color rgb="FFD9D9D9"/>
      </right>
      <top/>
      <bottom style="thin">
        <color rgb="FFD9D9D9"/>
      </bottom>
      <diagonal/>
    </border>
    <border diagonalUp="false" diagonalDown="false">
      <left style="thin">
        <color rgb="FFD9D9D9"/>
      </left>
      <right style="thin">
        <color rgb="FFD9D9D9"/>
      </right>
      <top/>
      <bottom style="thin">
        <color rgb="FFD9D9D9"/>
      </bottom>
      <diagonal/>
    </border>
    <border diagonalUp="false" diagonalDown="false">
      <left/>
      <right style="thin">
        <color rgb="FFD9D9D9"/>
      </right>
      <top style="thin">
        <color rgb="FFD9D9D9"/>
      </top>
      <bottom style="thin">
        <color rgb="FFD9D9D9"/>
      </bottom>
      <diagonal/>
    </border>
    <border diagonalUp="false" diagonalDown="false">
      <left style="thin">
        <color rgb="FFD9D9D9"/>
      </left>
      <right style="thin">
        <color rgb="FFD9D9D9"/>
      </right>
      <top style="thin">
        <color rgb="FFD9D9D9"/>
      </top>
      <bottom style="thin">
        <color rgb="FFD9D9D9"/>
      </bottom>
      <diagonal/>
    </border>
    <border diagonalUp="false" diagonalDown="false">
      <left style="thin">
        <color rgb="FFD9D9D9"/>
      </left>
      <right style="thin">
        <color rgb="FFD9D9D9"/>
      </right>
      <top style="thin">
        <color rgb="FFD9D9D9"/>
      </top>
      <bottom/>
      <diagonal/>
    </border>
    <border diagonalUp="false" diagonalDown="false">
      <left style="thin">
        <color rgb="FFD9D9D9"/>
      </left>
      <right style="thin">
        <color rgb="FFD9D9D9"/>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2" borderId="1" xfId="0" applyFont="true" applyBorder="true" applyAlignment="true" applyProtection="false">
      <alignment horizontal="center" vertical="center" textRotation="0" wrapText="true" indent="0" shrinkToFit="false"/>
      <protection locked="true" hidden="false"/>
    </xf>
    <xf numFmtId="164" fontId="6" fillId="0" borderId="0" xfId="0" applyFont="true" applyBorder="true" applyAlignment="false" applyProtection="false">
      <alignment horizontal="general" vertical="bottom" textRotation="0" wrapText="false" indent="0" shrinkToFit="false"/>
      <protection locked="true" hidden="false"/>
    </xf>
    <xf numFmtId="165" fontId="7" fillId="0" borderId="1" xfId="0" applyFont="true" applyBorder="true" applyAlignment="true" applyProtection="false">
      <alignment horizontal="left" vertical="center"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6" fontId="9" fillId="0" borderId="1" xfId="0" applyFont="true" applyBorder="true" applyAlignment="false" applyProtection="false">
      <alignment horizontal="general" vertical="bottom" textRotation="0" wrapText="false" indent="0" shrinkToFit="false"/>
      <protection locked="true" hidden="false"/>
    </xf>
    <xf numFmtId="166" fontId="0" fillId="0" borderId="1" xfId="0" applyFont="fals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left" vertical="center" textRotation="0" wrapText="false" indent="0" shrinkToFit="false"/>
      <protection locked="true" hidden="false"/>
    </xf>
    <xf numFmtId="164" fontId="10" fillId="0" borderId="0" xfId="0" applyFont="true" applyBorder="false" applyAlignment="true" applyProtection="false">
      <alignment horizontal="general" vertical="top" textRotation="0" wrapText="tru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0" fillId="0" borderId="2" xfId="0" applyFont="fals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true" applyProtection="false">
      <alignment horizontal="general" vertical="bottom" textRotation="0" wrapText="tru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5" fontId="7" fillId="0" borderId="3" xfId="0" applyFont="true" applyBorder="true" applyAlignment="true" applyProtection="false">
      <alignment horizontal="left" vertical="center" textRotation="0" wrapText="false" indent="0" shrinkToFit="false"/>
      <protection locked="true" hidden="false"/>
    </xf>
    <xf numFmtId="164" fontId="8" fillId="0" borderId="3" xfId="0" applyFont="true" applyBorder="true" applyAlignment="false" applyProtection="false">
      <alignment horizontal="general" vertical="bottom" textRotation="0" wrapText="false" indent="0" shrinkToFit="false"/>
      <protection locked="true" hidden="false"/>
    </xf>
    <xf numFmtId="164" fontId="9" fillId="0" borderId="3" xfId="0" applyFont="true" applyBorder="true" applyAlignment="false" applyProtection="false">
      <alignment horizontal="general" vertical="bottom" textRotation="0" wrapText="false" indent="0" shrinkToFit="false"/>
      <protection locked="true" hidden="false"/>
    </xf>
    <xf numFmtId="166" fontId="9" fillId="0" borderId="3" xfId="0" applyFont="true" applyBorder="true" applyAlignment="false" applyProtection="false">
      <alignment horizontal="general" vertical="bottom" textRotation="0" wrapText="false" indent="0" shrinkToFit="false"/>
      <protection locked="true" hidden="false"/>
    </xf>
    <xf numFmtId="165" fontId="7" fillId="0" borderId="0" xfId="0" applyFont="true" applyBorder="false" applyAlignment="true" applyProtection="false">
      <alignment horizontal="left" vertical="center"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6" fontId="9" fillId="0" borderId="0" xfId="0" applyFont="tru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4" fontId="9" fillId="0" borderId="4" xfId="0" applyFont="true" applyBorder="true" applyAlignment="false" applyProtection="false">
      <alignment horizontal="general" vertical="bottom" textRotation="0" wrapText="false" indent="0" shrinkToFit="false"/>
      <protection locked="true" hidden="false"/>
    </xf>
    <xf numFmtId="164" fontId="9" fillId="0" borderId="5" xfId="0" applyFont="true" applyBorder="true" applyAlignment="false" applyProtection="false">
      <alignment horizontal="general" vertical="bottom" textRotation="0" wrapText="false" indent="0" shrinkToFit="false"/>
      <protection locked="true" hidden="false"/>
    </xf>
    <xf numFmtId="164" fontId="9" fillId="0" borderId="6" xfId="0" applyFont="true" applyBorder="true" applyAlignment="false" applyProtection="false">
      <alignment horizontal="general" vertical="bottom" textRotation="0" wrapText="false" indent="0" shrinkToFit="false"/>
      <protection locked="true" hidden="false"/>
    </xf>
    <xf numFmtId="164" fontId="9" fillId="0" borderId="7" xfId="0" applyFont="true" applyBorder="true" applyAlignment="false" applyProtection="false">
      <alignment horizontal="general" vertical="bottom" textRotation="0" wrapText="false" indent="0" shrinkToFit="false"/>
      <protection locked="true" hidden="false"/>
    </xf>
    <xf numFmtId="164" fontId="5" fillId="2" borderId="8" xfId="0" applyFont="true" applyBorder="true" applyAlignment="true" applyProtection="false">
      <alignment horizontal="center" vertical="center"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5" fontId="9" fillId="0" borderId="1" xfId="0" applyFont="true" applyBorder="true" applyAlignment="false" applyProtection="false">
      <alignment horizontal="general" vertical="bottom" textRotation="0" wrapText="false" indent="0" shrinkToFit="false"/>
      <protection locked="true" hidden="false"/>
    </xf>
    <xf numFmtId="167" fontId="9" fillId="0" borderId="1" xfId="0" applyFont="true" applyBorder="true" applyAlignment="false" applyProtection="false">
      <alignment horizontal="general" vertical="bottom" textRotation="0" wrapText="false" indent="0" shrinkToFit="false"/>
      <protection locked="true" hidden="false"/>
    </xf>
    <xf numFmtId="164" fontId="10" fillId="0" borderId="0" xfId="0" applyFont="true" applyBorder="true" applyAlignment="true" applyProtection="false">
      <alignment horizontal="general" vertical="top" textRotation="0" wrapText="true" indent="0" shrinkToFit="false"/>
      <protection locked="true" hidden="false"/>
    </xf>
    <xf numFmtId="164" fontId="0" fillId="0" borderId="1" xfId="0" applyFont="true" applyBorder="true" applyAlignment="true" applyProtection="false">
      <alignment horizontal="general" vertical="bottom" textRotation="0" wrapText="true" indent="0" shrinkToFit="false"/>
      <protection locked="true" hidden="false"/>
    </xf>
    <xf numFmtId="167" fontId="9" fillId="0" borderId="5" xfId="0" applyFont="true" applyBorder="true" applyAlignment="false" applyProtection="false">
      <alignment horizontal="general" vertical="bottom" textRotation="0" wrapText="false" indent="0" shrinkToFit="false"/>
      <protection locked="true" hidden="false"/>
    </xf>
    <xf numFmtId="167" fontId="9" fillId="0" borderId="7" xfId="0" applyFont="true" applyBorder="true" applyAlignment="false" applyProtection="false">
      <alignment horizontal="general" vertical="bottom" textRotation="0" wrapText="false" indent="0" shrinkToFit="false"/>
      <protection locked="true" hidden="false"/>
    </xf>
    <xf numFmtId="164" fontId="5" fillId="2" borderId="9" xfId="0" applyFont="true" applyBorder="true" applyAlignment="true" applyProtection="false">
      <alignment horizontal="center" vertical="center" textRotation="0" wrapText="true" indent="0" shrinkToFit="false"/>
      <protection locked="true" hidden="false"/>
    </xf>
    <xf numFmtId="164" fontId="11" fillId="0" borderId="1" xfId="0" applyFont="true" applyBorder="true" applyAlignment="false" applyProtection="false">
      <alignment horizontal="general" vertical="bottom" textRotation="0" wrapText="false" indent="0" shrinkToFit="false"/>
      <protection locked="true" hidden="false"/>
    </xf>
    <xf numFmtId="164" fontId="12" fillId="2" borderId="7" xfId="0" applyFont="true" applyBorder="true" applyAlignment="true" applyProtection="false">
      <alignment horizontal="center" vertical="center" textRotation="0" wrapText="tru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14" fillId="4" borderId="7" xfId="0" applyFont="true" applyBorder="true" applyAlignment="true" applyProtection="false">
      <alignment horizontal="general" vertical="top" textRotation="0" wrapText="true" indent="0" shrinkToFit="false"/>
      <protection locked="true" hidden="false"/>
    </xf>
    <xf numFmtId="164" fontId="14" fillId="0" borderId="7" xfId="0" applyFont="true" applyBorder="true" applyAlignment="true" applyProtection="false">
      <alignment horizontal="general" vertical="top" textRotation="0" wrapText="true" indent="0" shrinkToFit="false"/>
      <protection locked="true" hidden="false"/>
    </xf>
    <xf numFmtId="164" fontId="14" fillId="5" borderId="7" xfId="0" applyFont="true" applyBorder="true" applyAlignment="true" applyProtection="false">
      <alignment horizontal="general" vertical="top" textRotation="0" wrapText="true" indent="0" shrinkToFit="false"/>
      <protection locked="true" hidden="false"/>
    </xf>
    <xf numFmtId="164" fontId="15" fillId="0" borderId="0" xfId="0" applyFont="true" applyBorder="true" applyAlignment="true" applyProtection="false">
      <alignment horizontal="general" vertical="top" textRotation="0" wrapText="true" indent="0" shrinkToFit="false"/>
      <protection locked="true" hidden="false"/>
    </xf>
    <xf numFmtId="164" fontId="14" fillId="6" borderId="7" xfId="0" applyFont="true" applyBorder="true" applyAlignment="true" applyProtection="false">
      <alignment horizontal="general" vertical="top" textRotation="0" wrapText="true" indent="0" shrinkToFit="false"/>
      <protection locked="true" hidden="false"/>
    </xf>
    <xf numFmtId="164" fontId="14" fillId="7" borderId="7"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2F2F2"/>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2F5496"/>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C6:H71"/>
  <sheetViews>
    <sheetView showFormulas="false" showGridLines="true" showRowColHeaders="true" showZeros="true" rightToLeft="false" tabSelected="true" showOutlineSymbols="true" defaultGridColor="true" view="normal" topLeftCell="A17" colorId="64" zoomScale="96" zoomScaleNormal="96" zoomScalePageLayoutView="100" workbookViewId="0">
      <selection pane="topLeft" activeCell="C28" activeCellId="0" sqref="C28"/>
    </sheetView>
  </sheetViews>
  <sheetFormatPr defaultColWidth="10.6796875" defaultRowHeight="15" zeroHeight="false" outlineLevelRow="0" outlineLevelCol="0"/>
  <cols>
    <col collapsed="false" customWidth="true" hidden="false" outlineLevel="0" max="3" min="3" style="0" width="46.33"/>
    <col collapsed="false" customWidth="true" hidden="false" outlineLevel="0" max="4" min="4" style="0" width="20.33"/>
    <col collapsed="false" customWidth="true" hidden="false" outlineLevel="0" max="5" min="5" style="0" width="19.67"/>
    <col collapsed="false" customWidth="true" hidden="false" outlineLevel="0" max="6" min="6" style="0" width="85.83"/>
  </cols>
  <sheetData>
    <row r="6" customFormat="false" ht="15" hidden="false" customHeight="false" outlineLevel="0" collapsed="false">
      <c r="C6" s="0" t="s">
        <v>0</v>
      </c>
    </row>
    <row r="8" customFormat="false" ht="15" hidden="false" customHeight="false" outlineLevel="0" collapsed="false">
      <c r="C8" s="1" t="s">
        <v>1</v>
      </c>
    </row>
    <row r="10" customFormat="false" ht="15" hidden="false" customHeight="false" outlineLevel="0" collapsed="false">
      <c r="C10" s="1" t="s">
        <v>2</v>
      </c>
      <c r="D10" s="1" t="s">
        <v>3</v>
      </c>
      <c r="E10" s="1" t="s">
        <v>4</v>
      </c>
      <c r="F10" s="1" t="s">
        <v>5</v>
      </c>
      <c r="G10" s="1"/>
      <c r="H10" s="1"/>
    </row>
    <row r="11" customFormat="false" ht="15" hidden="false" customHeight="false" outlineLevel="0" collapsed="false">
      <c r="C11" s="0" t="s">
        <v>6</v>
      </c>
      <c r="D11" s="0" t="s">
        <v>7</v>
      </c>
      <c r="E11" s="0" t="s">
        <v>8</v>
      </c>
      <c r="F11" s="0" t="s">
        <v>9</v>
      </c>
    </row>
    <row r="12" customFormat="false" ht="15" hidden="false" customHeight="false" outlineLevel="0" collapsed="false">
      <c r="C12" s="0" t="s">
        <v>10</v>
      </c>
      <c r="D12" s="0" t="s">
        <v>11</v>
      </c>
      <c r="E12" s="0" t="s">
        <v>12</v>
      </c>
      <c r="F12" s="0" t="s">
        <v>13</v>
      </c>
    </row>
    <row r="13" customFormat="false" ht="15" hidden="false" customHeight="false" outlineLevel="0" collapsed="false">
      <c r="C13" s="0" t="s">
        <v>14</v>
      </c>
      <c r="D13" s="0" t="s">
        <v>7</v>
      </c>
      <c r="E13" s="0" t="s">
        <v>15</v>
      </c>
      <c r="F13" s="0" t="s">
        <v>16</v>
      </c>
    </row>
    <row r="14" customFormat="false" ht="15" hidden="false" customHeight="false" outlineLevel="0" collapsed="false">
      <c r="C14" s="0" t="s">
        <v>14</v>
      </c>
      <c r="D14" s="0" t="s">
        <v>7</v>
      </c>
      <c r="E14" s="0" t="s">
        <v>17</v>
      </c>
      <c r="F14" s="0" t="s">
        <v>18</v>
      </c>
    </row>
    <row r="15" customFormat="false" ht="15" hidden="false" customHeight="false" outlineLevel="0" collapsed="false">
      <c r="C15" s="0" t="s">
        <v>19</v>
      </c>
      <c r="D15" s="0" t="s">
        <v>11</v>
      </c>
      <c r="E15" s="0" t="s">
        <v>20</v>
      </c>
      <c r="F15" s="0" t="s">
        <v>21</v>
      </c>
    </row>
    <row r="16" customFormat="false" ht="15" hidden="false" customHeight="false" outlineLevel="0" collapsed="false">
      <c r="C16" s="0" t="s">
        <v>19</v>
      </c>
      <c r="D16" s="0" t="s">
        <v>11</v>
      </c>
      <c r="E16" s="0" t="s">
        <v>22</v>
      </c>
      <c r="F16" s="0" t="s">
        <v>23</v>
      </c>
    </row>
    <row r="18" customFormat="false" ht="15" hidden="false" customHeight="false" outlineLevel="0" collapsed="false">
      <c r="C18" s="1"/>
    </row>
    <row r="19" customFormat="false" ht="15" hidden="false" customHeight="false" outlineLevel="0" collapsed="false">
      <c r="C19" s="1" t="s">
        <v>24</v>
      </c>
    </row>
    <row r="20" customFormat="false" ht="15" hidden="false" customHeight="false" outlineLevel="0" collapsed="false">
      <c r="G20" s="1"/>
      <c r="H20" s="1"/>
    </row>
    <row r="21" customFormat="false" ht="15" hidden="false" customHeight="false" outlineLevel="0" collapsed="false">
      <c r="C21" s="1" t="s">
        <v>2</v>
      </c>
      <c r="D21" s="1" t="s">
        <v>3</v>
      </c>
      <c r="E21" s="1" t="s">
        <v>4</v>
      </c>
      <c r="F21" s="1" t="s">
        <v>5</v>
      </c>
    </row>
    <row r="22" customFormat="false" ht="15" hidden="false" customHeight="false" outlineLevel="0" collapsed="false">
      <c r="C22" s="0" t="s">
        <v>25</v>
      </c>
      <c r="D22" s="0" t="s">
        <v>11</v>
      </c>
      <c r="E22" s="0" t="s">
        <v>26</v>
      </c>
      <c r="F22" s="0" t="s">
        <v>27</v>
      </c>
    </row>
    <row r="23" customFormat="false" ht="15" hidden="false" customHeight="false" outlineLevel="0" collapsed="false">
      <c r="C23" s="0" t="s">
        <v>28</v>
      </c>
      <c r="D23" s="0" t="s">
        <v>7</v>
      </c>
      <c r="E23" s="0" t="s">
        <v>8</v>
      </c>
      <c r="F23" s="0" t="s">
        <v>29</v>
      </c>
    </row>
    <row r="24" customFormat="false" ht="15" hidden="false" customHeight="false" outlineLevel="0" collapsed="false">
      <c r="C24" s="0" t="s">
        <v>28</v>
      </c>
      <c r="D24" s="0" t="s">
        <v>7</v>
      </c>
      <c r="E24" s="0" t="s">
        <v>30</v>
      </c>
      <c r="F24" s="0" t="s">
        <v>31</v>
      </c>
    </row>
    <row r="25" customFormat="false" ht="15" hidden="false" customHeight="false" outlineLevel="0" collapsed="false">
      <c r="C25" s="0" t="s">
        <v>32</v>
      </c>
      <c r="D25" s="0" t="s">
        <v>11</v>
      </c>
      <c r="E25" s="0" t="s">
        <v>33</v>
      </c>
      <c r="F25" s="0" t="s">
        <v>34</v>
      </c>
    </row>
    <row r="26" customFormat="false" ht="15" hidden="false" customHeight="false" outlineLevel="0" collapsed="false">
      <c r="C26" s="0" t="s">
        <v>32</v>
      </c>
      <c r="D26" s="0" t="s">
        <v>11</v>
      </c>
      <c r="E26" s="0" t="s">
        <v>15</v>
      </c>
      <c r="F26" s="0" t="s">
        <v>35</v>
      </c>
    </row>
    <row r="27" customFormat="false" ht="15" hidden="false" customHeight="false" outlineLevel="0" collapsed="false">
      <c r="C27" s="0" t="s">
        <v>36</v>
      </c>
      <c r="D27" s="0" t="s">
        <v>7</v>
      </c>
      <c r="E27" s="0" t="s">
        <v>37</v>
      </c>
      <c r="F27" s="0" t="s">
        <v>38</v>
      </c>
    </row>
    <row r="28" customFormat="false" ht="15" hidden="false" customHeight="false" outlineLevel="0" collapsed="false">
      <c r="C28" s="0" t="s">
        <v>36</v>
      </c>
      <c r="D28" s="0" t="s">
        <v>7</v>
      </c>
      <c r="E28" s="0" t="s">
        <v>20</v>
      </c>
      <c r="F28" s="0" t="s">
        <v>39</v>
      </c>
    </row>
    <row r="29" customFormat="false" ht="15" hidden="false" customHeight="false" outlineLevel="0" collapsed="false">
      <c r="C29" s="0" t="s">
        <v>40</v>
      </c>
      <c r="D29" s="0" t="s">
        <v>11</v>
      </c>
      <c r="E29" s="0" t="s">
        <v>22</v>
      </c>
      <c r="F29" s="0" t="s">
        <v>41</v>
      </c>
    </row>
    <row r="33" customFormat="false" ht="15" hidden="false" customHeight="false" outlineLevel="0" collapsed="false">
      <c r="C33" s="1" t="s">
        <v>42</v>
      </c>
    </row>
    <row r="35" customFormat="false" ht="15" hidden="false" customHeight="false" outlineLevel="0" collapsed="false">
      <c r="C35" s="1" t="s">
        <v>2</v>
      </c>
      <c r="D35" s="1" t="s">
        <v>3</v>
      </c>
      <c r="E35" s="1" t="s">
        <v>4</v>
      </c>
      <c r="F35" s="1" t="s">
        <v>5</v>
      </c>
    </row>
    <row r="36" customFormat="false" ht="15" hidden="false" customHeight="false" outlineLevel="0" collapsed="false">
      <c r="C36" s="0" t="s">
        <v>43</v>
      </c>
      <c r="D36" s="0" t="s">
        <v>7</v>
      </c>
      <c r="E36" s="0" t="s">
        <v>44</v>
      </c>
      <c r="F36" s="0" t="s">
        <v>45</v>
      </c>
    </row>
    <row r="37" customFormat="false" ht="15" hidden="false" customHeight="false" outlineLevel="0" collapsed="false">
      <c r="E37" s="0" t="s">
        <v>46</v>
      </c>
      <c r="F37" s="0" t="s">
        <v>47</v>
      </c>
    </row>
    <row r="38" customFormat="false" ht="15" hidden="false" customHeight="false" outlineLevel="0" collapsed="false">
      <c r="C38" s="0" t="s">
        <v>48</v>
      </c>
      <c r="D38" s="0" t="s">
        <v>11</v>
      </c>
      <c r="E38" s="0" t="s">
        <v>49</v>
      </c>
      <c r="F38" s="0" t="s">
        <v>50</v>
      </c>
    </row>
    <row r="39" customFormat="false" ht="15" hidden="false" customHeight="false" outlineLevel="0" collapsed="false">
      <c r="E39" s="0" t="s">
        <v>51</v>
      </c>
      <c r="F39" s="0" t="s">
        <v>52</v>
      </c>
    </row>
    <row r="40" customFormat="false" ht="15" hidden="false" customHeight="false" outlineLevel="0" collapsed="false">
      <c r="E40" s="0" t="s">
        <v>53</v>
      </c>
      <c r="F40" s="0" t="s">
        <v>54</v>
      </c>
    </row>
    <row r="41" customFormat="false" ht="15" hidden="false" customHeight="false" outlineLevel="0" collapsed="false">
      <c r="E41" s="0" t="s">
        <v>20</v>
      </c>
      <c r="F41" s="0" t="s">
        <v>41</v>
      </c>
    </row>
    <row r="43" customFormat="false" ht="15" hidden="false" customHeight="false" outlineLevel="0" collapsed="false">
      <c r="C43" s="1" t="s">
        <v>55</v>
      </c>
    </row>
    <row r="45" customFormat="false" ht="15" hidden="false" customHeight="false" outlineLevel="0" collapsed="false">
      <c r="C45" s="1" t="s">
        <v>2</v>
      </c>
      <c r="D45" s="1" t="s">
        <v>3</v>
      </c>
      <c r="E45" s="1" t="s">
        <v>4</v>
      </c>
      <c r="F45" s="1" t="s">
        <v>5</v>
      </c>
    </row>
    <row r="46" customFormat="false" ht="15" hidden="false" customHeight="false" outlineLevel="0" collapsed="false">
      <c r="C46" s="0" t="s">
        <v>56</v>
      </c>
      <c r="D46" s="0" t="s">
        <v>11</v>
      </c>
      <c r="E46" s="0" t="s">
        <v>57</v>
      </c>
      <c r="F46" s="0" t="s">
        <v>58</v>
      </c>
    </row>
    <row r="47" customFormat="false" ht="15" hidden="false" customHeight="false" outlineLevel="0" collapsed="false">
      <c r="E47" s="0" t="s">
        <v>59</v>
      </c>
      <c r="F47" s="0" t="s">
        <v>60</v>
      </c>
    </row>
    <row r="48" customFormat="false" ht="15" hidden="false" customHeight="false" outlineLevel="0" collapsed="false">
      <c r="E48" s="0" t="s">
        <v>15</v>
      </c>
      <c r="F48" s="0" t="s">
        <v>61</v>
      </c>
    </row>
    <row r="49" customFormat="false" ht="15" hidden="false" customHeight="false" outlineLevel="0" collapsed="false">
      <c r="C49" s="0" t="s">
        <v>62</v>
      </c>
      <c r="D49" s="0" t="s">
        <v>7</v>
      </c>
      <c r="E49" s="0" t="s">
        <v>53</v>
      </c>
      <c r="F49" s="0" t="s">
        <v>45</v>
      </c>
    </row>
    <row r="50" customFormat="false" ht="15" hidden="false" customHeight="false" outlineLevel="0" collapsed="false">
      <c r="E50" s="0" t="s">
        <v>63</v>
      </c>
      <c r="F50" s="0" t="s">
        <v>64</v>
      </c>
    </row>
    <row r="51" customFormat="false" ht="15" hidden="false" customHeight="false" outlineLevel="0" collapsed="false">
      <c r="C51" s="0" t="s">
        <v>65</v>
      </c>
      <c r="D51" s="0" t="s">
        <v>11</v>
      </c>
      <c r="E51" s="0" t="s">
        <v>66</v>
      </c>
      <c r="F51" s="0" t="s">
        <v>41</v>
      </c>
    </row>
    <row r="54" customFormat="false" ht="15" hidden="false" customHeight="false" outlineLevel="0" collapsed="false">
      <c r="C54" s="1" t="s">
        <v>67</v>
      </c>
    </row>
    <row r="56" customFormat="false" ht="15" hidden="false" customHeight="false" outlineLevel="0" collapsed="false">
      <c r="C56" s="1" t="s">
        <v>2</v>
      </c>
      <c r="D56" s="1" t="s">
        <v>3</v>
      </c>
      <c r="E56" s="1" t="s">
        <v>4</v>
      </c>
      <c r="F56" s="1" t="s">
        <v>5</v>
      </c>
    </row>
    <row r="57" customFormat="false" ht="15" hidden="false" customHeight="false" outlineLevel="0" collapsed="false">
      <c r="C57" s="0" t="s">
        <v>6</v>
      </c>
      <c r="D57" s="0" t="s">
        <v>11</v>
      </c>
      <c r="E57" s="0" t="s">
        <v>68</v>
      </c>
      <c r="F57" s="0" t="s">
        <v>69</v>
      </c>
    </row>
    <row r="58" customFormat="false" ht="15" hidden="false" customHeight="false" outlineLevel="0" collapsed="false">
      <c r="C58" s="0" t="s">
        <v>10</v>
      </c>
      <c r="D58" s="0" t="s">
        <v>7</v>
      </c>
      <c r="E58" s="0" t="s">
        <v>12</v>
      </c>
      <c r="F58" s="0" t="s">
        <v>70</v>
      </c>
    </row>
    <row r="59" customFormat="false" ht="15" hidden="false" customHeight="false" outlineLevel="0" collapsed="false">
      <c r="C59" s="0" t="s">
        <v>71</v>
      </c>
      <c r="D59" s="0" t="s">
        <v>11</v>
      </c>
      <c r="E59" s="0" t="s">
        <v>51</v>
      </c>
      <c r="F59" s="0" t="s">
        <v>34</v>
      </c>
    </row>
    <row r="60" customFormat="false" ht="15" hidden="false" customHeight="false" outlineLevel="0" collapsed="false">
      <c r="E60" s="0" t="s">
        <v>53</v>
      </c>
      <c r="F60" s="0" t="s">
        <v>60</v>
      </c>
    </row>
    <row r="61" customFormat="false" ht="15" hidden="false" customHeight="false" outlineLevel="0" collapsed="false">
      <c r="E61" s="0" t="s">
        <v>72</v>
      </c>
      <c r="F61" s="0" t="s">
        <v>41</v>
      </c>
    </row>
    <row r="62" customFormat="false" ht="15" hidden="false" customHeight="false" outlineLevel="0" collapsed="false">
      <c r="C62" s="1" t="s">
        <v>73</v>
      </c>
    </row>
    <row r="64" customFormat="false" ht="15" hidden="false" customHeight="false" outlineLevel="0" collapsed="false">
      <c r="C64" s="1" t="s">
        <v>2</v>
      </c>
      <c r="D64" s="1" t="s">
        <v>3</v>
      </c>
      <c r="E64" s="1" t="s">
        <v>4</v>
      </c>
      <c r="F64" s="1" t="s">
        <v>5</v>
      </c>
    </row>
    <row r="65" customFormat="false" ht="15" hidden="false" customHeight="false" outlineLevel="0" collapsed="false">
      <c r="C65" s="0" t="s">
        <v>74</v>
      </c>
      <c r="D65" s="0" t="s">
        <v>11</v>
      </c>
      <c r="E65" s="0" t="s">
        <v>30</v>
      </c>
      <c r="F65" s="0" t="s">
        <v>69</v>
      </c>
    </row>
    <row r="66" customFormat="false" ht="15" hidden="false" customHeight="false" outlineLevel="0" collapsed="false">
      <c r="C66" s="0" t="s">
        <v>75</v>
      </c>
      <c r="D66" s="0" t="s">
        <v>7</v>
      </c>
      <c r="E66" s="0" t="s">
        <v>51</v>
      </c>
      <c r="F66" s="0" t="s">
        <v>45</v>
      </c>
    </row>
    <row r="67" customFormat="false" ht="15" hidden="false" customHeight="false" outlineLevel="0" collapsed="false">
      <c r="E67" s="0" t="s">
        <v>76</v>
      </c>
      <c r="F67" s="0" t="s">
        <v>47</v>
      </c>
    </row>
    <row r="68" customFormat="false" ht="15" hidden="false" customHeight="false" outlineLevel="0" collapsed="false">
      <c r="C68" s="0" t="s">
        <v>77</v>
      </c>
      <c r="D68" s="0" t="s">
        <v>11</v>
      </c>
      <c r="E68" s="0" t="s">
        <v>78</v>
      </c>
      <c r="F68" s="0" t="s">
        <v>79</v>
      </c>
    </row>
    <row r="69" customFormat="false" ht="15" hidden="false" customHeight="false" outlineLevel="0" collapsed="false">
      <c r="C69" s="0" t="s">
        <v>80</v>
      </c>
      <c r="D69" s="0" t="s">
        <v>7</v>
      </c>
      <c r="E69" s="0" t="s">
        <v>20</v>
      </c>
      <c r="F69" s="0" t="s">
        <v>38</v>
      </c>
    </row>
    <row r="70" customFormat="false" ht="15" hidden="false" customHeight="false" outlineLevel="0" collapsed="false">
      <c r="E70" s="0" t="s">
        <v>81</v>
      </c>
      <c r="F70" s="0" t="s">
        <v>82</v>
      </c>
    </row>
    <row r="71" customFormat="false" ht="15" hidden="false" customHeight="false" outlineLevel="0" collapsed="false">
      <c r="C71" s="0" t="s">
        <v>83</v>
      </c>
      <c r="D71" s="0" t="s">
        <v>11</v>
      </c>
      <c r="E71" s="0" t="s">
        <v>84</v>
      </c>
      <c r="F71" s="0" t="s">
        <v>41</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9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106" activePane="bottomLeft" state="frozen"/>
      <selection pane="topLeft" activeCell="A1" activeCellId="0" sqref="A1"/>
      <selection pane="bottomLeft" activeCell="B137" activeCellId="0" sqref="B137"/>
    </sheetView>
  </sheetViews>
  <sheetFormatPr defaultColWidth="8.66796875" defaultRowHeight="15" zeroHeight="false" outlineLevelRow="0" outlineLevelCol="0"/>
  <cols>
    <col collapsed="false" customWidth="true" hidden="false" outlineLevel="0" max="1" min="1" style="0" width="23"/>
    <col collapsed="false" customWidth="true" hidden="false" outlineLevel="0" max="2" min="2" style="0" width="38.33"/>
    <col collapsed="false" customWidth="true" hidden="false" outlineLevel="0" max="3" min="3" style="0" width="25.51"/>
    <col collapsed="false" customWidth="true" hidden="false" outlineLevel="0" max="4" min="4" style="0" width="22.33"/>
    <col collapsed="false" customWidth="true" hidden="false" outlineLevel="0" max="5" min="5" style="0" width="15"/>
    <col collapsed="false" customWidth="true" hidden="false" outlineLevel="0" max="6" min="6" style="0" width="18.67"/>
    <col collapsed="false" customWidth="true" hidden="false" outlineLevel="0" max="7" min="7" style="0" width="19.51"/>
    <col collapsed="false" customWidth="true" hidden="false" outlineLevel="0" max="8" min="8" style="0" width="19.16"/>
    <col collapsed="false" customWidth="true" hidden="false" outlineLevel="0" max="9" min="9" style="0" width="57.16"/>
    <col collapsed="false" customWidth="true" hidden="false" outlineLevel="0" max="10" min="10" style="0" width="38.83"/>
    <col collapsed="false" customWidth="true" hidden="false" outlineLevel="0" max="11" min="11" style="0" width="55"/>
  </cols>
  <sheetData>
    <row r="1" customFormat="false" ht="31.5" hidden="false" customHeight="true" outlineLevel="0" collapsed="false">
      <c r="A1" s="2" t="s">
        <v>85</v>
      </c>
      <c r="B1" s="2" t="s">
        <v>86</v>
      </c>
      <c r="C1" s="2" t="s">
        <v>87</v>
      </c>
      <c r="D1" s="2" t="s">
        <v>88</v>
      </c>
      <c r="E1" s="2" t="s">
        <v>89</v>
      </c>
      <c r="F1" s="2" t="s">
        <v>90</v>
      </c>
      <c r="G1" s="2" t="s">
        <v>91</v>
      </c>
      <c r="H1" s="2" t="s">
        <v>92</v>
      </c>
      <c r="I1" s="2" t="s">
        <v>93</v>
      </c>
      <c r="K1" s="3"/>
      <c r="L1" s="3"/>
      <c r="M1" s="3"/>
    </row>
    <row r="2" customFormat="false" ht="15" hidden="false" customHeight="false" outlineLevel="0" collapsed="false">
      <c r="A2" s="4" t="n">
        <v>46266</v>
      </c>
      <c r="B2" s="5" t="s">
        <v>94</v>
      </c>
      <c r="C2" s="6" t="s">
        <v>95</v>
      </c>
      <c r="D2" s="7" t="n">
        <v>0.375</v>
      </c>
      <c r="E2" s="7" t="n">
        <v>0.791666666666667</v>
      </c>
      <c r="F2" s="6" t="n">
        <v>1</v>
      </c>
      <c r="G2" s="8" t="n">
        <v>0.43125</v>
      </c>
      <c r="H2" s="6" t="s">
        <v>96</v>
      </c>
      <c r="I2" s="9"/>
      <c r="K2" s="10"/>
    </row>
    <row r="3" customFormat="false" ht="15" hidden="false" customHeight="true" outlineLevel="0" collapsed="false">
      <c r="A3" s="4" t="n">
        <v>46266</v>
      </c>
      <c r="B3" s="5" t="s">
        <v>97</v>
      </c>
      <c r="C3" s="6" t="s">
        <v>98</v>
      </c>
      <c r="D3" s="7" t="n">
        <v>0.541666666666667</v>
      </c>
      <c r="E3" s="7" t="n">
        <v>0.9375</v>
      </c>
      <c r="F3" s="6" t="n">
        <v>1</v>
      </c>
      <c r="G3" s="7" t="n">
        <v>0.592361111111111</v>
      </c>
      <c r="H3" s="6" t="s">
        <v>96</v>
      </c>
      <c r="I3" s="6" t="s">
        <v>99</v>
      </c>
      <c r="K3" s="10"/>
      <c r="L3" s="10"/>
      <c r="M3" s="10"/>
    </row>
    <row r="4" customFormat="false" ht="21.75" hidden="false" customHeight="true" outlineLevel="0" collapsed="false">
      <c r="A4" s="4" t="n">
        <v>46266</v>
      </c>
      <c r="B4" s="5" t="s">
        <v>100</v>
      </c>
      <c r="C4" s="6" t="s">
        <v>101</v>
      </c>
      <c r="D4" s="7" t="n">
        <v>0.458333333333333</v>
      </c>
      <c r="E4" s="7" t="n">
        <v>0.833333333333333</v>
      </c>
      <c r="F4" s="6" t="n">
        <v>1</v>
      </c>
      <c r="G4" s="7" t="n">
        <v>0.509722222222222</v>
      </c>
      <c r="H4" s="6" t="s">
        <v>96</v>
      </c>
      <c r="I4" s="6"/>
      <c r="K4" s="11"/>
      <c r="L4" s="11"/>
      <c r="M4" s="11"/>
    </row>
    <row r="5" customFormat="false" ht="15" hidden="false" customHeight="true" outlineLevel="0" collapsed="false">
      <c r="A5" s="4" t="n">
        <v>46266</v>
      </c>
      <c r="B5" s="5" t="s">
        <v>102</v>
      </c>
      <c r="C5" s="6" t="s">
        <v>103</v>
      </c>
      <c r="D5" s="8" t="n">
        <v>0.458333333333333</v>
      </c>
      <c r="E5" s="8" t="n">
        <v>0.833333333333333</v>
      </c>
      <c r="F5" s="6" t="n">
        <v>1</v>
      </c>
      <c r="G5" s="7" t="n">
        <v>0.504166666666667</v>
      </c>
      <c r="H5" s="6" t="s">
        <v>96</v>
      </c>
      <c r="I5" s="6"/>
      <c r="K5" s="11"/>
      <c r="L5" s="11"/>
      <c r="M5" s="11"/>
    </row>
    <row r="6" customFormat="false" ht="15" hidden="false" customHeight="true" outlineLevel="0" collapsed="false">
      <c r="A6" s="4" t="n">
        <v>46266</v>
      </c>
      <c r="B6" s="5" t="s">
        <v>104</v>
      </c>
      <c r="C6" s="6" t="s">
        <v>105</v>
      </c>
      <c r="D6" s="7" t="n">
        <v>0.375</v>
      </c>
      <c r="E6" s="8" t="n">
        <v>0.854166666666667</v>
      </c>
      <c r="F6" s="6" t="n">
        <v>1</v>
      </c>
      <c r="G6" s="8" t="n">
        <v>0.430555555555556</v>
      </c>
      <c r="H6" s="6" t="s">
        <v>96</v>
      </c>
      <c r="I6" s="6"/>
      <c r="K6" s="11"/>
      <c r="L6" s="11"/>
      <c r="M6" s="11"/>
    </row>
    <row r="7" customFormat="false" ht="21.75" hidden="false" customHeight="true" outlineLevel="0" collapsed="false">
      <c r="A7" s="4" t="n">
        <v>46266</v>
      </c>
      <c r="B7" s="5" t="s">
        <v>106</v>
      </c>
      <c r="C7" s="6" t="s">
        <v>107</v>
      </c>
      <c r="D7" s="7" t="n">
        <v>0.458333333333333</v>
      </c>
      <c r="E7" s="7" t="n">
        <v>0.895833333333333</v>
      </c>
      <c r="F7" s="6" t="n">
        <v>1</v>
      </c>
      <c r="G7" s="7" t="n">
        <v>0.511111111111111</v>
      </c>
      <c r="H7" s="6" t="s">
        <v>108</v>
      </c>
      <c r="I7" s="6" t="s">
        <v>109</v>
      </c>
      <c r="K7" s="11"/>
      <c r="L7" s="11"/>
      <c r="M7" s="11"/>
    </row>
    <row r="8" customFormat="false" ht="15" hidden="false" customHeight="false" outlineLevel="0" collapsed="false">
      <c r="A8" s="4" t="n">
        <v>46266</v>
      </c>
      <c r="B8" s="5" t="s">
        <v>94</v>
      </c>
      <c r="C8" s="6" t="s">
        <v>95</v>
      </c>
      <c r="D8" s="7" t="n">
        <v>0.375</v>
      </c>
      <c r="E8" s="7" t="n">
        <v>0.791666666666667</v>
      </c>
      <c r="F8" s="6" t="n">
        <v>2</v>
      </c>
      <c r="G8" s="7" t="n">
        <v>0.561111111111111</v>
      </c>
      <c r="H8" s="6" t="s">
        <v>108</v>
      </c>
      <c r="I8" s="6"/>
      <c r="K8" s="12"/>
      <c r="L8" s="12"/>
      <c r="M8" s="12"/>
      <c r="N8" s="13"/>
    </row>
    <row r="9" customFormat="false" ht="15" hidden="false" customHeight="false" outlineLevel="0" collapsed="false">
      <c r="A9" s="4" t="n">
        <v>46266</v>
      </c>
      <c r="B9" s="5" t="s">
        <v>97</v>
      </c>
      <c r="C9" s="6" t="s">
        <v>98</v>
      </c>
      <c r="D9" s="7" t="n">
        <v>0.541666666666667</v>
      </c>
      <c r="E9" s="7" t="n">
        <v>0.9375</v>
      </c>
      <c r="F9" s="6" t="n">
        <v>2</v>
      </c>
      <c r="G9" s="7" t="n">
        <v>0.65</v>
      </c>
      <c r="H9" s="6" t="s">
        <v>96</v>
      </c>
      <c r="I9" s="6"/>
    </row>
    <row r="10" customFormat="false" ht="15" hidden="false" customHeight="false" outlineLevel="0" collapsed="false">
      <c r="A10" s="4" t="n">
        <v>46266</v>
      </c>
      <c r="B10" s="5" t="s">
        <v>100</v>
      </c>
      <c r="C10" s="6" t="s">
        <v>101</v>
      </c>
      <c r="D10" s="7" t="n">
        <v>0.458333333333333</v>
      </c>
      <c r="E10" s="7" t="n">
        <v>0.833333333333333</v>
      </c>
      <c r="F10" s="6" t="n">
        <v>2</v>
      </c>
      <c r="G10" s="7" t="n">
        <v>0.568055555555556</v>
      </c>
      <c r="H10" s="6" t="s">
        <v>96</v>
      </c>
      <c r="I10" s="6"/>
    </row>
    <row r="11" customFormat="false" ht="15" hidden="false" customHeight="false" outlineLevel="0" collapsed="false">
      <c r="A11" s="4" t="n">
        <v>46266</v>
      </c>
      <c r="B11" s="5" t="s">
        <v>102</v>
      </c>
      <c r="C11" s="6" t="s">
        <v>103</v>
      </c>
      <c r="D11" s="8" t="n">
        <v>0.458333333333333</v>
      </c>
      <c r="E11" s="8" t="n">
        <v>0.833333333333333</v>
      </c>
      <c r="F11" s="6" t="n">
        <v>2</v>
      </c>
      <c r="G11" s="7" t="n">
        <v>0.569444444444444</v>
      </c>
      <c r="H11" s="6" t="s">
        <v>96</v>
      </c>
      <c r="I11" s="6"/>
    </row>
    <row r="12" customFormat="false" ht="15" hidden="false" customHeight="false" outlineLevel="0" collapsed="false">
      <c r="A12" s="4" t="n">
        <v>46266</v>
      </c>
      <c r="B12" s="5" t="s">
        <v>104</v>
      </c>
      <c r="C12" s="6" t="s">
        <v>105</v>
      </c>
      <c r="D12" s="7" t="n">
        <v>0.375</v>
      </c>
      <c r="E12" s="8" t="n">
        <v>0.854166666666667</v>
      </c>
      <c r="F12" s="6" t="n">
        <v>2</v>
      </c>
      <c r="G12" s="7" t="n">
        <v>0.523611111111111</v>
      </c>
      <c r="H12" s="6" t="s">
        <v>96</v>
      </c>
      <c r="I12" s="6"/>
    </row>
    <row r="13" customFormat="false" ht="15" hidden="false" customHeight="false" outlineLevel="0" collapsed="false">
      <c r="A13" s="4" t="n">
        <v>46266</v>
      </c>
      <c r="B13" s="5" t="s">
        <v>106</v>
      </c>
      <c r="C13" s="6" t="s">
        <v>107</v>
      </c>
      <c r="D13" s="7" t="n">
        <v>0.458333333333333</v>
      </c>
      <c r="E13" s="7" t="n">
        <v>0.895833333333333</v>
      </c>
      <c r="F13" s="6" t="n">
        <v>2</v>
      </c>
      <c r="G13" s="7" t="n">
        <v>0.545138888888889</v>
      </c>
      <c r="H13" s="6" t="s">
        <v>108</v>
      </c>
      <c r="I13" s="6" t="s">
        <v>110</v>
      </c>
    </row>
    <row r="14" customFormat="false" ht="15" hidden="false" customHeight="false" outlineLevel="0" collapsed="false">
      <c r="A14" s="4" t="n">
        <v>46266</v>
      </c>
      <c r="B14" s="5" t="s">
        <v>94</v>
      </c>
      <c r="C14" s="6" t="s">
        <v>95</v>
      </c>
      <c r="D14" s="7" t="n">
        <v>0.375</v>
      </c>
      <c r="E14" s="7" t="n">
        <v>0.791666666666667</v>
      </c>
      <c r="F14" s="6" t="n">
        <v>3</v>
      </c>
      <c r="G14" s="7" t="n">
        <v>0.654166666666667</v>
      </c>
      <c r="H14" s="6" t="s">
        <v>108</v>
      </c>
      <c r="I14" s="6"/>
    </row>
    <row r="15" customFormat="false" ht="15" hidden="false" customHeight="false" outlineLevel="0" collapsed="false">
      <c r="A15" s="4" t="n">
        <v>46266</v>
      </c>
      <c r="B15" s="5" t="s">
        <v>97</v>
      </c>
      <c r="C15" s="6" t="s">
        <v>98</v>
      </c>
      <c r="D15" s="7" t="n">
        <v>0.541666666666667</v>
      </c>
      <c r="E15" s="7" t="n">
        <v>0.9375</v>
      </c>
      <c r="F15" s="6" t="n">
        <v>3</v>
      </c>
      <c r="G15" s="7" t="n">
        <v>0.711111111111111</v>
      </c>
      <c r="H15" s="6" t="s">
        <v>96</v>
      </c>
      <c r="I15" s="6" t="s">
        <v>111</v>
      </c>
    </row>
    <row r="16" customFormat="false" ht="15" hidden="false" customHeight="false" outlineLevel="0" collapsed="false">
      <c r="A16" s="4" t="n">
        <v>46266</v>
      </c>
      <c r="B16" s="5" t="s">
        <v>100</v>
      </c>
      <c r="C16" s="6" t="s">
        <v>101</v>
      </c>
      <c r="D16" s="7" t="n">
        <v>0.458333333333333</v>
      </c>
      <c r="E16" s="7" t="n">
        <v>0.833333333333333</v>
      </c>
      <c r="F16" s="6" t="n">
        <v>3</v>
      </c>
      <c r="G16" s="7" t="n">
        <v>0.649305555555556</v>
      </c>
      <c r="H16" s="6" t="s">
        <v>96</v>
      </c>
      <c r="I16" s="6" t="s">
        <v>112</v>
      </c>
    </row>
    <row r="17" customFormat="false" ht="15" hidden="false" customHeight="false" outlineLevel="0" collapsed="false">
      <c r="A17" s="4" t="n">
        <v>46266</v>
      </c>
      <c r="B17" s="5" t="s">
        <v>102</v>
      </c>
      <c r="C17" s="6" t="s">
        <v>103</v>
      </c>
      <c r="D17" s="8" t="n">
        <v>0.458333333333333</v>
      </c>
      <c r="E17" s="8" t="n">
        <v>0.833333333333333</v>
      </c>
      <c r="F17" s="6" t="n">
        <v>3</v>
      </c>
      <c r="G17" s="7" t="n">
        <v>0.651388888888889</v>
      </c>
      <c r="H17" s="6" t="s">
        <v>96</v>
      </c>
      <c r="I17" s="6"/>
    </row>
    <row r="18" customFormat="false" ht="15" hidden="false" customHeight="false" outlineLevel="0" collapsed="false">
      <c r="A18" s="4" t="n">
        <v>46266</v>
      </c>
      <c r="B18" s="5" t="s">
        <v>104</v>
      </c>
      <c r="C18" s="6" t="s">
        <v>105</v>
      </c>
      <c r="D18" s="7" t="n">
        <v>0.375</v>
      </c>
      <c r="E18" s="8" t="n">
        <v>0.854166666666667</v>
      </c>
      <c r="F18" s="6" t="n">
        <v>3</v>
      </c>
      <c r="G18" s="7" t="n">
        <v>0.600694444444444</v>
      </c>
      <c r="H18" s="6" t="s">
        <v>96</v>
      </c>
      <c r="I18" s="6"/>
    </row>
    <row r="19" customFormat="false" ht="21.75" hidden="false" customHeight="true" outlineLevel="0" collapsed="false">
      <c r="A19" s="4" t="n">
        <v>46266</v>
      </c>
      <c r="B19" s="5" t="s">
        <v>106</v>
      </c>
      <c r="C19" s="6" t="s">
        <v>107</v>
      </c>
      <c r="D19" s="7" t="n">
        <v>0.458333333333333</v>
      </c>
      <c r="E19" s="7" t="n">
        <v>0.895833333333333</v>
      </c>
      <c r="F19" s="6" t="n">
        <v>3</v>
      </c>
      <c r="G19" s="7" t="n">
        <v>0.597916666666667</v>
      </c>
      <c r="H19" s="6" t="s">
        <v>96</v>
      </c>
      <c r="I19" s="14" t="s">
        <v>113</v>
      </c>
    </row>
    <row r="20" customFormat="false" ht="15" hidden="false" customHeight="false" outlineLevel="0" collapsed="false">
      <c r="A20" s="4" t="n">
        <v>46266</v>
      </c>
      <c r="B20" s="5" t="s">
        <v>94</v>
      </c>
      <c r="C20" s="6" t="s">
        <v>95</v>
      </c>
      <c r="D20" s="7" t="n">
        <v>0.375</v>
      </c>
      <c r="E20" s="7" t="n">
        <v>0.791666666666667</v>
      </c>
      <c r="F20" s="6" t="n">
        <v>4</v>
      </c>
      <c r="G20" s="7" t="n">
        <v>0.7375</v>
      </c>
      <c r="H20" s="6" t="s">
        <v>108</v>
      </c>
      <c r="I20" s="6"/>
    </row>
    <row r="21" customFormat="false" ht="24.75" hidden="false" customHeight="true" outlineLevel="0" collapsed="false">
      <c r="A21" s="4" t="n">
        <v>46266</v>
      </c>
      <c r="B21" s="5" t="s">
        <v>97</v>
      </c>
      <c r="C21" s="6" t="s">
        <v>98</v>
      </c>
      <c r="D21" s="7" t="n">
        <v>0.541666666666667</v>
      </c>
      <c r="E21" s="7" t="n">
        <v>0.9375</v>
      </c>
      <c r="F21" s="6" t="n">
        <v>4</v>
      </c>
      <c r="G21" s="7" t="n">
        <v>0.758333333333333</v>
      </c>
      <c r="H21" s="6" t="s">
        <v>96</v>
      </c>
      <c r="I21" s="14" t="s">
        <v>114</v>
      </c>
    </row>
    <row r="22" customFormat="false" ht="45.75" hidden="false" customHeight="true" outlineLevel="0" collapsed="false">
      <c r="A22" s="4" t="n">
        <v>46266</v>
      </c>
      <c r="B22" s="5" t="s">
        <v>100</v>
      </c>
      <c r="C22" s="6" t="s">
        <v>101</v>
      </c>
      <c r="D22" s="7" t="n">
        <v>0.458333333333333</v>
      </c>
      <c r="E22" s="7" t="n">
        <v>0.833333333333333</v>
      </c>
      <c r="F22" s="6" t="n">
        <v>4</v>
      </c>
      <c r="G22" s="7" t="n">
        <v>0.736805555555556</v>
      </c>
      <c r="H22" s="6" t="s">
        <v>108</v>
      </c>
      <c r="I22" s="14" t="s">
        <v>115</v>
      </c>
    </row>
    <row r="23" customFormat="false" ht="15" hidden="false" customHeight="false" outlineLevel="0" collapsed="false">
      <c r="A23" s="4" t="n">
        <v>46266</v>
      </c>
      <c r="B23" s="5" t="s">
        <v>102</v>
      </c>
      <c r="C23" s="6" t="s">
        <v>103</v>
      </c>
      <c r="D23" s="8" t="n">
        <v>0.458333333333333</v>
      </c>
      <c r="E23" s="8" t="n">
        <v>0.833333333333333</v>
      </c>
      <c r="F23" s="6" t="n">
        <v>4</v>
      </c>
      <c r="G23" s="7" t="n">
        <v>0.752083333333333</v>
      </c>
      <c r="H23" s="6" t="s">
        <v>96</v>
      </c>
      <c r="I23" s="6"/>
    </row>
    <row r="24" customFormat="false" ht="15" hidden="false" customHeight="false" outlineLevel="0" collapsed="false">
      <c r="A24" s="4" t="n">
        <v>46266</v>
      </c>
      <c r="B24" s="5" t="s">
        <v>104</v>
      </c>
      <c r="C24" s="6" t="s">
        <v>105</v>
      </c>
      <c r="D24" s="7" t="n">
        <v>0.375</v>
      </c>
      <c r="E24" s="8" t="n">
        <v>0.854166666666667</v>
      </c>
      <c r="F24" s="6" t="n">
        <v>4</v>
      </c>
      <c r="G24" s="7" t="n">
        <v>0.667361111111111</v>
      </c>
      <c r="H24" s="6" t="s">
        <v>108</v>
      </c>
      <c r="I24" s="6" t="s">
        <v>116</v>
      </c>
    </row>
    <row r="25" customFormat="false" ht="15" hidden="false" customHeight="false" outlineLevel="0" collapsed="false">
      <c r="A25" s="4" t="n">
        <v>46266</v>
      </c>
      <c r="B25" s="5" t="s">
        <v>106</v>
      </c>
      <c r="C25" s="6" t="s">
        <v>107</v>
      </c>
      <c r="D25" s="7" t="n">
        <v>0.458333333333333</v>
      </c>
      <c r="E25" s="7" t="n">
        <v>0.895833333333333</v>
      </c>
      <c r="F25" s="6" t="n">
        <v>4</v>
      </c>
      <c r="G25" s="7" t="n">
        <v>0.66875</v>
      </c>
      <c r="H25" s="6" t="s">
        <v>96</v>
      </c>
      <c r="I25" s="6" t="s">
        <v>117</v>
      </c>
    </row>
    <row r="26" customFormat="false" ht="15" hidden="false" customHeight="false" outlineLevel="0" collapsed="false">
      <c r="A26" s="4" t="n">
        <v>46266</v>
      </c>
      <c r="B26" s="5" t="s">
        <v>94</v>
      </c>
      <c r="C26" s="6" t="s">
        <v>95</v>
      </c>
      <c r="D26" s="7" t="n">
        <v>0.375</v>
      </c>
      <c r="E26" s="7" t="n">
        <v>0.791666666666667</v>
      </c>
      <c r="F26" s="6" t="n">
        <v>5</v>
      </c>
      <c r="G26" s="7" t="n">
        <v>0.880555555555556</v>
      </c>
      <c r="H26" s="6" t="s">
        <v>108</v>
      </c>
      <c r="I26" s="6"/>
    </row>
    <row r="27" customFormat="false" ht="31.5" hidden="false" customHeight="true" outlineLevel="0" collapsed="false">
      <c r="A27" s="4" t="n">
        <v>46266</v>
      </c>
      <c r="B27" s="5" t="s">
        <v>97</v>
      </c>
      <c r="C27" s="6" t="s">
        <v>98</v>
      </c>
      <c r="D27" s="7" t="n">
        <v>0.541666666666667</v>
      </c>
      <c r="E27" s="7" t="n">
        <v>0.9375</v>
      </c>
      <c r="F27" s="6" t="n">
        <v>5</v>
      </c>
      <c r="G27" s="7" t="n">
        <v>0.860416666666667</v>
      </c>
      <c r="H27" s="6" t="s">
        <v>96</v>
      </c>
      <c r="I27" s="14" t="s">
        <v>118</v>
      </c>
    </row>
    <row r="28" customFormat="false" ht="15" hidden="false" customHeight="false" outlineLevel="0" collapsed="false">
      <c r="A28" s="4" t="n">
        <v>46266</v>
      </c>
      <c r="B28" s="5" t="s">
        <v>100</v>
      </c>
      <c r="C28" s="6" t="s">
        <v>101</v>
      </c>
      <c r="D28" s="7" t="n">
        <v>0.458333333333333</v>
      </c>
      <c r="E28" s="7" t="n">
        <v>0.833333333333333</v>
      </c>
      <c r="F28" s="6" t="n">
        <v>5</v>
      </c>
      <c r="G28" s="7" t="n">
        <v>0.808333333333333</v>
      </c>
      <c r="H28" s="6" t="s">
        <v>96</v>
      </c>
      <c r="I28" s="6" t="s">
        <v>119</v>
      </c>
    </row>
    <row r="29" customFormat="false" ht="15" hidden="false" customHeight="false" outlineLevel="0" collapsed="false">
      <c r="A29" s="4" t="n">
        <v>46266</v>
      </c>
      <c r="B29" s="5" t="s">
        <v>102</v>
      </c>
      <c r="C29" s="6" t="s">
        <v>103</v>
      </c>
      <c r="D29" s="8" t="n">
        <v>0.458333333333333</v>
      </c>
      <c r="E29" s="8" t="n">
        <v>0.833333333333333</v>
      </c>
      <c r="F29" s="6" t="n">
        <v>5</v>
      </c>
      <c r="G29" s="7" t="n">
        <v>0.858333333333333</v>
      </c>
      <c r="H29" s="6" t="s">
        <v>96</v>
      </c>
      <c r="I29" s="6"/>
    </row>
    <row r="30" customFormat="false" ht="15" hidden="false" customHeight="false" outlineLevel="0" collapsed="false">
      <c r="A30" s="4" t="n">
        <v>46266</v>
      </c>
      <c r="B30" s="5" t="s">
        <v>104</v>
      </c>
      <c r="C30" s="6" t="s">
        <v>105</v>
      </c>
      <c r="D30" s="7" t="n">
        <v>0.375</v>
      </c>
      <c r="E30" s="8" t="n">
        <v>0.854166666666667</v>
      </c>
      <c r="F30" s="6" t="n">
        <v>5</v>
      </c>
      <c r="G30" s="7" t="n">
        <v>0.725694444444444</v>
      </c>
      <c r="H30" s="6" t="s">
        <v>96</v>
      </c>
      <c r="I30" s="6"/>
    </row>
    <row r="31" customFormat="false" ht="15" hidden="false" customHeight="false" outlineLevel="0" collapsed="false">
      <c r="A31" s="4" t="n">
        <v>46266</v>
      </c>
      <c r="B31" s="5" t="s">
        <v>106</v>
      </c>
      <c r="C31" s="6" t="s">
        <v>107</v>
      </c>
      <c r="D31" s="7" t="n">
        <v>0.458333333333333</v>
      </c>
      <c r="E31" s="7" t="n">
        <v>0.895833333333333</v>
      </c>
      <c r="F31" s="6" t="n">
        <v>5</v>
      </c>
      <c r="G31" s="7" t="n">
        <v>0.736111111111111</v>
      </c>
      <c r="H31" s="6" t="s">
        <v>96</v>
      </c>
      <c r="I31" s="6" t="s">
        <v>120</v>
      </c>
    </row>
    <row r="32" customFormat="false" ht="15" hidden="false" customHeight="false" outlineLevel="0" collapsed="false">
      <c r="A32" s="4" t="n">
        <v>46266</v>
      </c>
      <c r="B32" s="5" t="s">
        <v>97</v>
      </c>
      <c r="C32" s="6" t="s">
        <v>98</v>
      </c>
      <c r="D32" s="7" t="n">
        <v>0.541666666666667</v>
      </c>
      <c r="E32" s="7" t="n">
        <v>0.9375</v>
      </c>
      <c r="F32" s="6" t="n">
        <v>6</v>
      </c>
      <c r="G32" s="7" t="n">
        <v>0.941666666666667</v>
      </c>
      <c r="H32" s="6" t="s">
        <v>96</v>
      </c>
      <c r="I32" s="6" t="s">
        <v>121</v>
      </c>
    </row>
    <row r="33" customFormat="false" ht="15" hidden="false" customHeight="false" outlineLevel="0" collapsed="false">
      <c r="A33" s="4" t="n">
        <v>46266</v>
      </c>
      <c r="B33" s="5" t="s">
        <v>102</v>
      </c>
      <c r="C33" s="6" t="s">
        <v>103</v>
      </c>
      <c r="D33" s="8" t="n">
        <v>0.458333333333333</v>
      </c>
      <c r="E33" s="8" t="n">
        <v>0.833333333333333</v>
      </c>
      <c r="F33" s="6" t="n">
        <v>6</v>
      </c>
      <c r="G33" s="7" t="n">
        <v>0.858333333333333</v>
      </c>
      <c r="H33" s="6" t="s">
        <v>96</v>
      </c>
      <c r="I33" s="6"/>
    </row>
    <row r="34" customFormat="false" ht="15" hidden="false" customHeight="false" outlineLevel="0" collapsed="false">
      <c r="A34" s="4" t="n">
        <v>46266</v>
      </c>
      <c r="B34" s="5" t="s">
        <v>104</v>
      </c>
      <c r="C34" s="6" t="s">
        <v>105</v>
      </c>
      <c r="D34" s="7" t="n">
        <v>0.375</v>
      </c>
      <c r="E34" s="8" t="n">
        <v>0.854166666666667</v>
      </c>
      <c r="F34" s="6" t="n">
        <v>6</v>
      </c>
      <c r="G34" s="7" t="n">
        <v>0.858333333333333</v>
      </c>
      <c r="H34" s="6" t="s">
        <v>96</v>
      </c>
      <c r="I34" s="6" t="s">
        <v>122</v>
      </c>
    </row>
    <row r="35" s="15" customFormat="true" ht="15" hidden="false" customHeight="false" outlineLevel="0" collapsed="false">
      <c r="A35" s="4" t="n">
        <v>46266</v>
      </c>
      <c r="B35" s="5" t="s">
        <v>106</v>
      </c>
      <c r="C35" s="6" t="s">
        <v>107</v>
      </c>
      <c r="D35" s="7" t="n">
        <v>0.458333333333333</v>
      </c>
      <c r="E35" s="7" t="n">
        <v>0.895833333333333</v>
      </c>
      <c r="F35" s="6" t="n">
        <v>6</v>
      </c>
      <c r="G35" s="7" t="n">
        <v>0.859722222222222</v>
      </c>
      <c r="H35" s="6" t="s">
        <v>108</v>
      </c>
      <c r="I35" s="6" t="s">
        <v>123</v>
      </c>
    </row>
    <row r="36" customFormat="false" ht="15" hidden="false" customHeight="false" outlineLevel="0" collapsed="false">
      <c r="A36" s="4" t="n">
        <v>46267</v>
      </c>
      <c r="B36" s="5" t="s">
        <v>94</v>
      </c>
      <c r="C36" s="6" t="s">
        <v>95</v>
      </c>
      <c r="D36" s="7" t="n">
        <v>0.375</v>
      </c>
      <c r="E36" s="7" t="n">
        <v>0.791666666666667</v>
      </c>
      <c r="F36" s="6" t="n">
        <v>1</v>
      </c>
      <c r="G36" s="7" t="n">
        <v>0.429166666666667</v>
      </c>
      <c r="H36" s="6" t="s">
        <v>108</v>
      </c>
      <c r="I36" s="6"/>
    </row>
    <row r="37" customFormat="false" ht="15" hidden="false" customHeight="false" outlineLevel="0" collapsed="false">
      <c r="A37" s="4" t="n">
        <v>46267</v>
      </c>
      <c r="B37" s="5" t="s">
        <v>97</v>
      </c>
      <c r="C37" s="6" t="s">
        <v>98</v>
      </c>
      <c r="D37" s="7" t="n">
        <v>0.541666666666667</v>
      </c>
      <c r="E37" s="7" t="n">
        <v>0.9375</v>
      </c>
      <c r="F37" s="6" t="n">
        <v>1</v>
      </c>
      <c r="G37" s="7" t="n">
        <v>0.560416666666667</v>
      </c>
      <c r="H37" s="6" t="s">
        <v>96</v>
      </c>
      <c r="I37" s="6"/>
    </row>
    <row r="38" customFormat="false" ht="15" hidden="false" customHeight="false" outlineLevel="0" collapsed="false">
      <c r="A38" s="4" t="n">
        <v>46267</v>
      </c>
      <c r="B38" s="5" t="s">
        <v>100</v>
      </c>
      <c r="C38" s="6" t="s">
        <v>101</v>
      </c>
      <c r="D38" s="7" t="n">
        <v>0.458333333333333</v>
      </c>
      <c r="E38" s="7" t="n">
        <v>0.833333333333333</v>
      </c>
      <c r="F38" s="6" t="n">
        <v>1</v>
      </c>
      <c r="G38" s="7" t="n">
        <v>0.505555555555556</v>
      </c>
      <c r="H38" s="6" t="s">
        <v>108</v>
      </c>
      <c r="I38" s="6"/>
    </row>
    <row r="39" customFormat="false" ht="15" hidden="false" customHeight="false" outlineLevel="0" collapsed="false">
      <c r="A39" s="4" t="n">
        <v>46267</v>
      </c>
      <c r="B39" s="5" t="s">
        <v>102</v>
      </c>
      <c r="C39" s="6" t="s">
        <v>103</v>
      </c>
      <c r="D39" s="8" t="n">
        <v>0.458333333333333</v>
      </c>
      <c r="E39" s="8" t="n">
        <v>0.833333333333333</v>
      </c>
      <c r="F39" s="6" t="n">
        <v>1</v>
      </c>
      <c r="G39" s="7" t="n">
        <v>0.505555555555556</v>
      </c>
      <c r="H39" s="6" t="s">
        <v>96</v>
      </c>
      <c r="I39" s="6"/>
    </row>
    <row r="40" customFormat="false" ht="15" hidden="false" customHeight="false" outlineLevel="0" collapsed="false">
      <c r="A40" s="4" t="n">
        <v>46267</v>
      </c>
      <c r="B40" s="5" t="s">
        <v>104</v>
      </c>
      <c r="C40" s="6" t="s">
        <v>105</v>
      </c>
      <c r="D40" s="7" t="n">
        <v>0.375</v>
      </c>
      <c r="E40" s="8" t="n">
        <v>0.854166666666667</v>
      </c>
      <c r="F40" s="6" t="n">
        <v>1</v>
      </c>
      <c r="G40" s="7" t="n">
        <v>0.418055555555556</v>
      </c>
      <c r="H40" s="6" t="s">
        <v>108</v>
      </c>
      <c r="I40" s="6" t="s">
        <v>124</v>
      </c>
    </row>
    <row r="41" customFormat="false" ht="15" hidden="false" customHeight="false" outlineLevel="0" collapsed="false">
      <c r="A41" s="4" t="n">
        <v>46267</v>
      </c>
      <c r="B41" s="5" t="s">
        <v>106</v>
      </c>
      <c r="C41" s="6" t="s">
        <v>107</v>
      </c>
      <c r="D41" s="7" t="n">
        <v>0.458333333333333</v>
      </c>
      <c r="E41" s="7" t="n">
        <v>0.895833333333333</v>
      </c>
      <c r="F41" s="6" t="n">
        <v>1</v>
      </c>
      <c r="G41" s="7" t="n">
        <v>0.5125</v>
      </c>
      <c r="H41" s="6" t="s">
        <v>96</v>
      </c>
      <c r="I41" s="6" t="s">
        <v>125</v>
      </c>
    </row>
    <row r="42" customFormat="false" ht="15" hidden="false" customHeight="false" outlineLevel="0" collapsed="false">
      <c r="A42" s="4" t="n">
        <v>46267</v>
      </c>
      <c r="B42" s="5" t="s">
        <v>94</v>
      </c>
      <c r="C42" s="6" t="s">
        <v>95</v>
      </c>
      <c r="D42" s="7" t="n">
        <v>0.375</v>
      </c>
      <c r="E42" s="7" t="n">
        <v>0.791666666666667</v>
      </c>
      <c r="F42" s="6" t="n">
        <v>2</v>
      </c>
      <c r="G42" s="7" t="n">
        <v>0.503472222222222</v>
      </c>
      <c r="H42" s="6" t="s">
        <v>96</v>
      </c>
      <c r="I42" s="6"/>
    </row>
    <row r="43" customFormat="false" ht="15" hidden="false" customHeight="false" outlineLevel="0" collapsed="false">
      <c r="A43" s="4" t="n">
        <v>46267</v>
      </c>
      <c r="B43" s="5" t="s">
        <v>97</v>
      </c>
      <c r="C43" s="6" t="s">
        <v>98</v>
      </c>
      <c r="D43" s="7" t="n">
        <v>0.541666666666667</v>
      </c>
      <c r="E43" s="7" t="n">
        <v>0.9375</v>
      </c>
      <c r="F43" s="6" t="n">
        <v>2</v>
      </c>
      <c r="G43" s="7" t="n">
        <v>0.568055555555556</v>
      </c>
      <c r="H43" s="6" t="s">
        <v>96</v>
      </c>
      <c r="I43" s="6"/>
    </row>
    <row r="44" customFormat="false" ht="15" hidden="false" customHeight="false" outlineLevel="0" collapsed="false">
      <c r="A44" s="4" t="n">
        <v>46267</v>
      </c>
      <c r="B44" s="5" t="s">
        <v>100</v>
      </c>
      <c r="C44" s="6" t="s">
        <v>101</v>
      </c>
      <c r="D44" s="7" t="n">
        <v>0.458333333333333</v>
      </c>
      <c r="E44" s="7" t="n">
        <v>0.833333333333333</v>
      </c>
      <c r="F44" s="6" t="n">
        <v>2</v>
      </c>
      <c r="G44" s="7" t="n">
        <v>0.579166666666667</v>
      </c>
      <c r="H44" s="6" t="s">
        <v>108</v>
      </c>
      <c r="I44" s="6"/>
    </row>
    <row r="45" customFormat="false" ht="15" hidden="false" customHeight="false" outlineLevel="0" collapsed="false">
      <c r="A45" s="4" t="n">
        <v>46267</v>
      </c>
      <c r="B45" s="5" t="s">
        <v>102</v>
      </c>
      <c r="C45" s="6" t="s">
        <v>103</v>
      </c>
      <c r="D45" s="8" t="n">
        <v>0.458333333333333</v>
      </c>
      <c r="E45" s="8" t="n">
        <v>0.833333333333333</v>
      </c>
      <c r="F45" s="6" t="n">
        <v>2</v>
      </c>
      <c r="G45" s="7" t="n">
        <v>0.574305555555556</v>
      </c>
      <c r="H45" s="6" t="s">
        <v>96</v>
      </c>
      <c r="I45" s="6"/>
    </row>
    <row r="46" customFormat="false" ht="15" hidden="false" customHeight="false" outlineLevel="0" collapsed="false">
      <c r="A46" s="4" t="n">
        <v>46267</v>
      </c>
      <c r="B46" s="5" t="s">
        <v>104</v>
      </c>
      <c r="C46" s="6" t="s">
        <v>105</v>
      </c>
      <c r="D46" s="7" t="n">
        <v>0.375</v>
      </c>
      <c r="E46" s="8" t="n">
        <v>0.854166666666667</v>
      </c>
      <c r="F46" s="6" t="n">
        <v>2</v>
      </c>
      <c r="G46" s="7" t="n">
        <v>0.58125</v>
      </c>
      <c r="H46" s="6" t="s">
        <v>96</v>
      </c>
      <c r="I46" s="6"/>
    </row>
    <row r="47" customFormat="false" ht="15" hidden="false" customHeight="false" outlineLevel="0" collapsed="false">
      <c r="A47" s="4" t="n">
        <v>46267</v>
      </c>
      <c r="B47" s="5" t="s">
        <v>106</v>
      </c>
      <c r="C47" s="6" t="s">
        <v>107</v>
      </c>
      <c r="D47" s="7" t="n">
        <v>0.458333333333333</v>
      </c>
      <c r="E47" s="7" t="n">
        <v>0.895833333333333</v>
      </c>
      <c r="F47" s="6" t="n">
        <v>2</v>
      </c>
      <c r="G47" s="7" t="n">
        <v>0.580555555555556</v>
      </c>
      <c r="H47" s="6" t="s">
        <v>96</v>
      </c>
      <c r="I47" s="6" t="s">
        <v>126</v>
      </c>
    </row>
    <row r="48" customFormat="false" ht="15" hidden="false" customHeight="false" outlineLevel="0" collapsed="false">
      <c r="A48" s="4" t="n">
        <v>46267</v>
      </c>
      <c r="B48" s="5" t="s">
        <v>94</v>
      </c>
      <c r="C48" s="6" t="s">
        <v>95</v>
      </c>
      <c r="D48" s="7" t="n">
        <v>0.375</v>
      </c>
      <c r="E48" s="7" t="n">
        <v>0.791666666666667</v>
      </c>
      <c r="F48" s="6" t="n">
        <v>3</v>
      </c>
      <c r="G48" s="7" t="n">
        <v>0.579166666666667</v>
      </c>
      <c r="H48" s="6" t="s">
        <v>96</v>
      </c>
      <c r="I48" s="6"/>
    </row>
    <row r="49" customFormat="false" ht="15" hidden="false" customHeight="false" outlineLevel="0" collapsed="false">
      <c r="A49" s="4" t="n">
        <v>46267</v>
      </c>
      <c r="B49" s="5" t="s">
        <v>97</v>
      </c>
      <c r="C49" s="6" t="s">
        <v>98</v>
      </c>
      <c r="D49" s="7" t="n">
        <v>0.541666666666667</v>
      </c>
      <c r="E49" s="7" t="n">
        <v>0.9375</v>
      </c>
      <c r="F49" s="6" t="n">
        <v>3</v>
      </c>
      <c r="G49" s="7" t="n">
        <v>0.647916666666667</v>
      </c>
      <c r="H49" s="6" t="s">
        <v>96</v>
      </c>
      <c r="I49" s="6"/>
    </row>
    <row r="50" customFormat="false" ht="15" hidden="false" customHeight="false" outlineLevel="0" collapsed="false">
      <c r="A50" s="4" t="n">
        <v>46267</v>
      </c>
      <c r="B50" s="5" t="s">
        <v>100</v>
      </c>
      <c r="C50" s="6" t="s">
        <v>101</v>
      </c>
      <c r="D50" s="7" t="n">
        <v>0.458333333333333</v>
      </c>
      <c r="E50" s="7" t="n">
        <v>0.833333333333333</v>
      </c>
      <c r="F50" s="6" t="n">
        <v>3</v>
      </c>
      <c r="G50" s="7" t="n">
        <v>0.638888888888889</v>
      </c>
      <c r="H50" s="6" t="s">
        <v>96</v>
      </c>
      <c r="I50" s="6"/>
    </row>
    <row r="51" customFormat="false" ht="15" hidden="false" customHeight="false" outlineLevel="0" collapsed="false">
      <c r="A51" s="4" t="n">
        <v>46267</v>
      </c>
      <c r="B51" s="5" t="s">
        <v>102</v>
      </c>
      <c r="C51" s="6" t="s">
        <v>103</v>
      </c>
      <c r="D51" s="8" t="n">
        <v>0.458333333333333</v>
      </c>
      <c r="E51" s="8" t="n">
        <v>0.833333333333333</v>
      </c>
      <c r="F51" s="6" t="n">
        <v>3</v>
      </c>
      <c r="G51" s="7" t="n">
        <v>0.682638888888889</v>
      </c>
      <c r="H51" s="6" t="s">
        <v>96</v>
      </c>
      <c r="I51" s="6"/>
    </row>
    <row r="52" customFormat="false" ht="15" hidden="false" customHeight="false" outlineLevel="0" collapsed="false">
      <c r="A52" s="4" t="n">
        <v>46267</v>
      </c>
      <c r="B52" s="5" t="s">
        <v>104</v>
      </c>
      <c r="C52" s="6" t="s">
        <v>105</v>
      </c>
      <c r="D52" s="7" t="n">
        <v>0.375</v>
      </c>
      <c r="E52" s="8" t="n">
        <v>0.854166666666667</v>
      </c>
      <c r="F52" s="6" t="n">
        <v>3</v>
      </c>
      <c r="G52" s="7" t="n">
        <v>0.647222222222222</v>
      </c>
      <c r="H52" s="6" t="s">
        <v>96</v>
      </c>
      <c r="I52" s="6"/>
    </row>
    <row r="53" customFormat="false" ht="15" hidden="false" customHeight="false" outlineLevel="0" collapsed="false">
      <c r="A53" s="4" t="n">
        <v>46267</v>
      </c>
      <c r="B53" s="5" t="s">
        <v>106</v>
      </c>
      <c r="C53" s="6" t="s">
        <v>107</v>
      </c>
      <c r="D53" s="7" t="n">
        <v>0.458333333333333</v>
      </c>
      <c r="E53" s="7" t="n">
        <v>0.895833333333333</v>
      </c>
      <c r="F53" s="6" t="n">
        <v>3</v>
      </c>
      <c r="G53" s="7" t="n">
        <v>0.624305555555556</v>
      </c>
      <c r="H53" s="6" t="s">
        <v>96</v>
      </c>
      <c r="I53" s="6" t="s">
        <v>125</v>
      </c>
    </row>
    <row r="54" customFormat="false" ht="15" hidden="false" customHeight="false" outlineLevel="0" collapsed="false">
      <c r="A54" s="4" t="n">
        <v>46267</v>
      </c>
      <c r="B54" s="5" t="s">
        <v>94</v>
      </c>
      <c r="C54" s="6" t="s">
        <v>95</v>
      </c>
      <c r="D54" s="7" t="n">
        <v>0.375</v>
      </c>
      <c r="E54" s="7" t="n">
        <v>0.791666666666667</v>
      </c>
      <c r="F54" s="6" t="n">
        <v>4</v>
      </c>
      <c r="G54" s="7" t="n">
        <v>0.645833333333333</v>
      </c>
      <c r="H54" s="6" t="s">
        <v>108</v>
      </c>
      <c r="I54" s="6"/>
    </row>
    <row r="55" customFormat="false" ht="15" hidden="false" customHeight="false" outlineLevel="0" collapsed="false">
      <c r="A55" s="4" t="n">
        <v>46267</v>
      </c>
      <c r="B55" s="5" t="s">
        <v>97</v>
      </c>
      <c r="C55" s="6" t="s">
        <v>98</v>
      </c>
      <c r="D55" s="7" t="n">
        <v>0.541666666666667</v>
      </c>
      <c r="E55" s="7" t="n">
        <v>0.9375</v>
      </c>
      <c r="F55" s="6" t="n">
        <v>4</v>
      </c>
      <c r="G55" s="7" t="n">
        <v>0.749305555555556</v>
      </c>
      <c r="H55" s="6" t="s">
        <v>96</v>
      </c>
      <c r="I55" s="6" t="s">
        <v>127</v>
      </c>
    </row>
    <row r="56" customFormat="false" ht="15" hidden="false" customHeight="false" outlineLevel="0" collapsed="false">
      <c r="A56" s="4" t="n">
        <v>46267</v>
      </c>
      <c r="B56" s="5" t="s">
        <v>100</v>
      </c>
      <c r="C56" s="6" t="s">
        <v>101</v>
      </c>
      <c r="D56" s="7" t="n">
        <v>0.458333333333333</v>
      </c>
      <c r="E56" s="7" t="n">
        <v>0.833333333333333</v>
      </c>
      <c r="F56" s="6" t="n">
        <v>4</v>
      </c>
      <c r="G56" s="7" t="n">
        <v>0.728472222222222</v>
      </c>
      <c r="H56" s="6" t="s">
        <v>96</v>
      </c>
      <c r="I56" s="6"/>
    </row>
    <row r="57" customFormat="false" ht="15" hidden="false" customHeight="false" outlineLevel="0" collapsed="false">
      <c r="A57" s="4" t="n">
        <v>46267</v>
      </c>
      <c r="B57" s="5" t="s">
        <v>102</v>
      </c>
      <c r="C57" s="6" t="s">
        <v>103</v>
      </c>
      <c r="D57" s="8" t="n">
        <v>0.458333333333333</v>
      </c>
      <c r="E57" s="8" t="n">
        <v>0.833333333333333</v>
      </c>
      <c r="F57" s="6" t="n">
        <v>4</v>
      </c>
      <c r="G57" s="7" t="n">
        <v>0.748611111111111</v>
      </c>
      <c r="H57" s="6" t="s">
        <v>96</v>
      </c>
      <c r="I57" s="6"/>
    </row>
    <row r="58" customFormat="false" ht="15" hidden="false" customHeight="false" outlineLevel="0" collapsed="false">
      <c r="A58" s="4" t="n">
        <v>46267</v>
      </c>
      <c r="B58" s="5" t="s">
        <v>104</v>
      </c>
      <c r="C58" s="6" t="s">
        <v>105</v>
      </c>
      <c r="D58" s="7" t="n">
        <v>0.375</v>
      </c>
      <c r="E58" s="8" t="n">
        <v>0.854166666666667</v>
      </c>
      <c r="F58" s="6" t="n">
        <v>4</v>
      </c>
      <c r="G58" s="7" t="n">
        <v>0.727777777777778</v>
      </c>
      <c r="H58" s="6" t="s">
        <v>108</v>
      </c>
      <c r="I58" s="6" t="s">
        <v>128</v>
      </c>
    </row>
    <row r="59" customFormat="false" ht="15" hidden="false" customHeight="false" outlineLevel="0" collapsed="false">
      <c r="A59" s="4" t="n">
        <v>46267</v>
      </c>
      <c r="B59" s="5" t="s">
        <v>106</v>
      </c>
      <c r="C59" s="6" t="s">
        <v>107</v>
      </c>
      <c r="D59" s="7" t="n">
        <v>0.458333333333333</v>
      </c>
      <c r="E59" s="7" t="n">
        <v>0.895833333333333</v>
      </c>
      <c r="F59" s="6" t="n">
        <v>4</v>
      </c>
      <c r="G59" s="7" t="n">
        <v>0.731944444444444</v>
      </c>
      <c r="H59" s="6" t="s">
        <v>96</v>
      </c>
      <c r="I59" s="6"/>
    </row>
    <row r="60" customFormat="false" ht="15" hidden="false" customHeight="false" outlineLevel="0" collapsed="false">
      <c r="A60" s="4" t="n">
        <v>46267</v>
      </c>
      <c r="B60" s="5" t="s">
        <v>94</v>
      </c>
      <c r="C60" s="6" t="s">
        <v>95</v>
      </c>
      <c r="D60" s="7" t="n">
        <v>0.375</v>
      </c>
      <c r="E60" s="7" t="n">
        <v>0.791666666666667</v>
      </c>
      <c r="F60" s="6" t="n">
        <v>5</v>
      </c>
      <c r="G60" s="7" t="n">
        <v>0.7375</v>
      </c>
      <c r="H60" s="6" t="s">
        <v>108</v>
      </c>
      <c r="I60" s="6"/>
    </row>
    <row r="61" customFormat="false" ht="15" hidden="false" customHeight="false" outlineLevel="0" collapsed="false">
      <c r="A61" s="4" t="n">
        <v>46267</v>
      </c>
      <c r="B61" s="5" t="s">
        <v>97</v>
      </c>
      <c r="C61" s="6" t="s">
        <v>98</v>
      </c>
      <c r="D61" s="7" t="n">
        <v>0.541666666666667</v>
      </c>
      <c r="E61" s="7" t="n">
        <v>0.9375</v>
      </c>
      <c r="F61" s="6" t="n">
        <v>5</v>
      </c>
      <c r="G61" s="7" t="n">
        <v>0.815972222222222</v>
      </c>
      <c r="H61" s="6" t="s">
        <v>108</v>
      </c>
      <c r="I61" s="6" t="s">
        <v>129</v>
      </c>
    </row>
    <row r="62" customFormat="false" ht="15" hidden="false" customHeight="false" outlineLevel="0" collapsed="false">
      <c r="A62" s="4" t="n">
        <v>46267</v>
      </c>
      <c r="B62" s="5" t="s">
        <v>100</v>
      </c>
      <c r="C62" s="6" t="s">
        <v>101</v>
      </c>
      <c r="D62" s="7" t="n">
        <v>0.458333333333333</v>
      </c>
      <c r="E62" s="7" t="n">
        <v>0.833333333333333</v>
      </c>
      <c r="F62" s="6" t="n">
        <v>5</v>
      </c>
      <c r="G62" s="7" t="n">
        <v>0.834027777777778</v>
      </c>
      <c r="H62" s="6" t="s">
        <v>108</v>
      </c>
      <c r="I62" s="6"/>
    </row>
    <row r="63" customFormat="false" ht="15" hidden="false" customHeight="false" outlineLevel="0" collapsed="false">
      <c r="A63" s="4" t="n">
        <v>46267</v>
      </c>
      <c r="B63" s="5" t="s">
        <v>102</v>
      </c>
      <c r="C63" s="6" t="s">
        <v>103</v>
      </c>
      <c r="D63" s="8" t="n">
        <v>0.458333333333333</v>
      </c>
      <c r="E63" s="8" t="n">
        <v>0.833333333333333</v>
      </c>
      <c r="F63" s="6" t="n">
        <v>5</v>
      </c>
      <c r="G63" s="7" t="n">
        <v>0.813194444444444</v>
      </c>
      <c r="H63" s="6" t="s">
        <v>96</v>
      </c>
      <c r="I63" s="6"/>
    </row>
    <row r="64" customFormat="false" ht="15" hidden="false" customHeight="false" outlineLevel="0" collapsed="false">
      <c r="A64" s="4" t="n">
        <v>46267</v>
      </c>
      <c r="B64" s="5" t="s">
        <v>104</v>
      </c>
      <c r="C64" s="6" t="s">
        <v>105</v>
      </c>
      <c r="D64" s="7" t="n">
        <v>0.375</v>
      </c>
      <c r="E64" s="8" t="n">
        <v>0.854166666666667</v>
      </c>
      <c r="F64" s="6" t="n">
        <v>5</v>
      </c>
      <c r="G64" s="7" t="n">
        <v>0.813888888888889</v>
      </c>
      <c r="H64" s="6" t="s">
        <v>96</v>
      </c>
      <c r="I64" s="6"/>
    </row>
    <row r="65" customFormat="false" ht="15" hidden="false" customHeight="false" outlineLevel="0" collapsed="false">
      <c r="A65" s="4" t="n">
        <v>46267</v>
      </c>
      <c r="B65" s="5" t="s">
        <v>106</v>
      </c>
      <c r="C65" s="6" t="s">
        <v>107</v>
      </c>
      <c r="D65" s="7" t="n">
        <v>0.458333333333333</v>
      </c>
      <c r="E65" s="7" t="n">
        <v>0.895833333333333</v>
      </c>
      <c r="F65" s="6" t="n">
        <v>5</v>
      </c>
      <c r="G65" s="7" t="n">
        <v>0.815972222222222</v>
      </c>
      <c r="H65" s="6" t="s">
        <v>96</v>
      </c>
      <c r="I65" s="6" t="s">
        <v>125</v>
      </c>
    </row>
    <row r="66" customFormat="false" ht="15" hidden="false" customHeight="false" outlineLevel="0" collapsed="false">
      <c r="A66" s="4" t="n">
        <v>46267</v>
      </c>
      <c r="B66" s="5" t="s">
        <v>94</v>
      </c>
      <c r="C66" s="6" t="s">
        <v>95</v>
      </c>
      <c r="D66" s="7" t="n">
        <v>0.375</v>
      </c>
      <c r="E66" s="7" t="n">
        <v>0.791666666666667</v>
      </c>
      <c r="F66" s="6" t="n">
        <v>6</v>
      </c>
      <c r="G66" s="7" t="n">
        <v>0.815277777777778</v>
      </c>
      <c r="H66" s="6" t="s">
        <v>108</v>
      </c>
      <c r="I66" s="6"/>
    </row>
    <row r="67" customFormat="false" ht="15" hidden="false" customHeight="false" outlineLevel="0" collapsed="false">
      <c r="A67" s="4" t="n">
        <v>46267</v>
      </c>
      <c r="B67" s="5" t="s">
        <v>97</v>
      </c>
      <c r="C67" s="6" t="s">
        <v>98</v>
      </c>
      <c r="D67" s="7" t="n">
        <v>0.541666666666667</v>
      </c>
      <c r="E67" s="7" t="n">
        <v>0.9375</v>
      </c>
      <c r="F67" s="6" t="n">
        <v>6</v>
      </c>
      <c r="G67" s="7" t="n">
        <v>0.872916666666667</v>
      </c>
      <c r="H67" s="6" t="s">
        <v>96</v>
      </c>
      <c r="I67" s="6" t="s">
        <v>130</v>
      </c>
    </row>
    <row r="68" customFormat="false" ht="15" hidden="false" customHeight="false" outlineLevel="0" collapsed="false">
      <c r="A68" s="4" t="n">
        <v>46268</v>
      </c>
      <c r="B68" s="5" t="s">
        <v>94</v>
      </c>
      <c r="C68" s="6" t="s">
        <v>95</v>
      </c>
      <c r="D68" s="7" t="n">
        <v>0.375</v>
      </c>
      <c r="E68" s="7" t="n">
        <v>0.791666666666667</v>
      </c>
      <c r="F68" s="6" t="n">
        <v>1</v>
      </c>
      <c r="G68" s="7" t="n">
        <v>0.4375</v>
      </c>
      <c r="H68" s="6" t="s">
        <v>108</v>
      </c>
      <c r="I68" s="6"/>
    </row>
    <row r="69" customFormat="false" ht="15" hidden="false" customHeight="false" outlineLevel="0" collapsed="false">
      <c r="A69" s="4" t="n">
        <v>46268</v>
      </c>
      <c r="B69" s="5" t="s">
        <v>97</v>
      </c>
      <c r="C69" s="6" t="s">
        <v>98</v>
      </c>
      <c r="D69" s="7" t="n">
        <v>0.541666666666667</v>
      </c>
      <c r="E69" s="7" t="n">
        <v>0.9375</v>
      </c>
      <c r="F69" s="6" t="n">
        <v>1</v>
      </c>
      <c r="G69" s="7" t="n">
        <v>0.600694444444444</v>
      </c>
      <c r="H69" s="6" t="s">
        <v>96</v>
      </c>
      <c r="I69" s="6" t="s">
        <v>126</v>
      </c>
    </row>
    <row r="70" customFormat="false" ht="15" hidden="false" customHeight="false" outlineLevel="0" collapsed="false">
      <c r="A70" s="4" t="n">
        <v>46268</v>
      </c>
      <c r="B70" s="5" t="s">
        <v>100</v>
      </c>
      <c r="C70" s="6" t="s">
        <v>101</v>
      </c>
      <c r="D70" s="7" t="n">
        <v>0.458333333333333</v>
      </c>
      <c r="E70" s="7" t="n">
        <v>0.833333333333333</v>
      </c>
      <c r="F70" s="6" t="n">
        <v>1</v>
      </c>
      <c r="G70" s="7" t="n">
        <v>0.504861111111111</v>
      </c>
      <c r="H70" s="6" t="s">
        <v>108</v>
      </c>
      <c r="I70" s="6"/>
    </row>
    <row r="71" customFormat="false" ht="15" hidden="false" customHeight="false" outlineLevel="0" collapsed="false">
      <c r="A71" s="4" t="n">
        <v>46268</v>
      </c>
      <c r="B71" s="5" t="s">
        <v>102</v>
      </c>
      <c r="C71" s="6" t="s">
        <v>103</v>
      </c>
      <c r="D71" s="8" t="n">
        <v>0.458333333333333</v>
      </c>
      <c r="E71" s="8" t="n">
        <v>0.833333333333333</v>
      </c>
      <c r="F71" s="6" t="n">
        <v>1</v>
      </c>
      <c r="G71" s="7" t="n">
        <v>0.517361111111111</v>
      </c>
      <c r="H71" s="6" t="s">
        <v>96</v>
      </c>
      <c r="I71" s="6"/>
    </row>
    <row r="72" customFormat="false" ht="15" hidden="false" customHeight="false" outlineLevel="0" collapsed="false">
      <c r="A72" s="4" t="n">
        <v>46268</v>
      </c>
      <c r="B72" s="5" t="s">
        <v>104</v>
      </c>
      <c r="C72" s="6" t="s">
        <v>105</v>
      </c>
      <c r="D72" s="7" t="n">
        <v>0.375</v>
      </c>
      <c r="E72" s="8" t="n">
        <v>0.854166666666667</v>
      </c>
      <c r="F72" s="6" t="n">
        <v>1</v>
      </c>
      <c r="G72" s="7" t="n">
        <v>0.409722222222222</v>
      </c>
      <c r="H72" s="6" t="s">
        <v>108</v>
      </c>
      <c r="I72" s="6" t="s">
        <v>124</v>
      </c>
    </row>
    <row r="73" customFormat="false" ht="15" hidden="false" customHeight="false" outlineLevel="0" collapsed="false">
      <c r="A73" s="4" t="n">
        <v>46268</v>
      </c>
      <c r="B73" s="5" t="s">
        <v>106</v>
      </c>
      <c r="C73" s="6" t="s">
        <v>107</v>
      </c>
      <c r="D73" s="7" t="n">
        <v>0.458333333333333</v>
      </c>
      <c r="E73" s="7" t="n">
        <v>0.895833333333333</v>
      </c>
      <c r="F73" s="6" t="n">
        <v>1</v>
      </c>
      <c r="G73" s="7" t="n">
        <v>0.518055555555556</v>
      </c>
      <c r="H73" s="6" t="s">
        <v>108</v>
      </c>
      <c r="I73" s="6"/>
    </row>
    <row r="74" customFormat="false" ht="15" hidden="false" customHeight="false" outlineLevel="0" collapsed="false">
      <c r="A74" s="4" t="n">
        <v>46268</v>
      </c>
      <c r="B74" s="5" t="s">
        <v>94</v>
      </c>
      <c r="C74" s="6" t="s">
        <v>95</v>
      </c>
      <c r="D74" s="7" t="n">
        <v>0.375</v>
      </c>
      <c r="E74" s="7" t="n">
        <v>0.791666666666667</v>
      </c>
      <c r="F74" s="6" t="n">
        <v>2</v>
      </c>
      <c r="G74" s="7" t="n">
        <v>0.51875</v>
      </c>
      <c r="H74" s="6" t="s">
        <v>108</v>
      </c>
      <c r="I74" s="6"/>
    </row>
    <row r="75" customFormat="false" ht="15" hidden="false" customHeight="false" outlineLevel="0" collapsed="false">
      <c r="A75" s="4" t="n">
        <v>46268</v>
      </c>
      <c r="B75" s="5" t="s">
        <v>97</v>
      </c>
      <c r="C75" s="6" t="s">
        <v>98</v>
      </c>
      <c r="D75" s="7" t="n">
        <v>0.541666666666667</v>
      </c>
      <c r="E75" s="7" t="n">
        <v>0.9375</v>
      </c>
      <c r="F75" s="6" t="n">
        <v>2</v>
      </c>
      <c r="G75" s="8" t="n">
        <v>0.60625</v>
      </c>
      <c r="H75" s="6" t="s">
        <v>108</v>
      </c>
      <c r="I75" s="12" t="s">
        <v>131</v>
      </c>
    </row>
    <row r="76" customFormat="false" ht="15" hidden="false" customHeight="false" outlineLevel="0" collapsed="false">
      <c r="A76" s="4" t="n">
        <v>46268</v>
      </c>
      <c r="B76" s="5" t="s">
        <v>100</v>
      </c>
      <c r="C76" s="6" t="s">
        <v>101</v>
      </c>
      <c r="D76" s="7" t="n">
        <v>0.458333333333333</v>
      </c>
      <c r="E76" s="7" t="n">
        <v>0.833333333333333</v>
      </c>
      <c r="F76" s="6" t="n">
        <v>2</v>
      </c>
      <c r="G76" s="7" t="n">
        <v>0.579861111111111</v>
      </c>
      <c r="H76" s="6" t="s">
        <v>108</v>
      </c>
      <c r="I76" s="6"/>
    </row>
    <row r="77" customFormat="false" ht="15" hidden="false" customHeight="false" outlineLevel="0" collapsed="false">
      <c r="A77" s="4" t="n">
        <v>46268</v>
      </c>
      <c r="B77" s="5" t="s">
        <v>102</v>
      </c>
      <c r="C77" s="6" t="s">
        <v>103</v>
      </c>
      <c r="D77" s="8" t="n">
        <v>0.458333333333333</v>
      </c>
      <c r="E77" s="8" t="n">
        <v>0.833333333333333</v>
      </c>
      <c r="F77" s="6" t="n">
        <v>2</v>
      </c>
      <c r="G77" s="7" t="n">
        <v>0.565277777777778</v>
      </c>
      <c r="H77" s="6" t="s">
        <v>96</v>
      </c>
      <c r="I77" s="6"/>
    </row>
    <row r="78" customFormat="false" ht="15" hidden="false" customHeight="false" outlineLevel="0" collapsed="false">
      <c r="A78" s="4" t="n">
        <v>46268</v>
      </c>
      <c r="B78" s="5" t="s">
        <v>104</v>
      </c>
      <c r="C78" s="6" t="s">
        <v>105</v>
      </c>
      <c r="D78" s="7" t="n">
        <v>0.375</v>
      </c>
      <c r="E78" s="8" t="n">
        <v>0.854166666666667</v>
      </c>
      <c r="F78" s="6" t="n">
        <v>2</v>
      </c>
      <c r="G78" s="7" t="n">
        <v>0.447916666666667</v>
      </c>
      <c r="H78" s="6" t="s">
        <v>96</v>
      </c>
      <c r="I78" s="6"/>
    </row>
    <row r="79" customFormat="false" ht="15" hidden="false" customHeight="false" outlineLevel="0" collapsed="false">
      <c r="A79" s="4" t="n">
        <v>46268</v>
      </c>
      <c r="B79" s="5" t="s">
        <v>106</v>
      </c>
      <c r="C79" s="6" t="s">
        <v>107</v>
      </c>
      <c r="D79" s="7" t="n">
        <v>0.458333333333333</v>
      </c>
      <c r="E79" s="7" t="n">
        <v>0.895833333333333</v>
      </c>
      <c r="F79" s="6" t="n">
        <v>2</v>
      </c>
      <c r="G79" s="7" t="n">
        <v>0.589583333333333</v>
      </c>
      <c r="H79" s="6" t="s">
        <v>108</v>
      </c>
      <c r="I79" s="6"/>
    </row>
    <row r="80" customFormat="false" ht="15" hidden="false" customHeight="false" outlineLevel="0" collapsed="false">
      <c r="A80" s="4" t="n">
        <v>46268</v>
      </c>
      <c r="B80" s="5" t="s">
        <v>94</v>
      </c>
      <c r="C80" s="6" t="s">
        <v>95</v>
      </c>
      <c r="D80" s="7" t="n">
        <v>0.375</v>
      </c>
      <c r="E80" s="7" t="n">
        <v>0.791666666666667</v>
      </c>
      <c r="F80" s="6" t="n">
        <v>3</v>
      </c>
      <c r="G80" s="7" t="n">
        <v>0.564583333333333</v>
      </c>
      <c r="H80" s="6" t="s">
        <v>108</v>
      </c>
      <c r="I80" s="6"/>
    </row>
    <row r="81" customFormat="false" ht="15" hidden="false" customHeight="false" outlineLevel="0" collapsed="false">
      <c r="A81" s="4" t="n">
        <v>46268</v>
      </c>
      <c r="B81" s="5" t="s">
        <v>97</v>
      </c>
      <c r="C81" s="6" t="s">
        <v>98</v>
      </c>
      <c r="D81" s="7" t="n">
        <v>0.541666666666667</v>
      </c>
      <c r="E81" s="7" t="n">
        <v>0.9375</v>
      </c>
      <c r="F81" s="6" t="n">
        <v>3</v>
      </c>
      <c r="G81" s="7" t="n">
        <v>0.646527777777778</v>
      </c>
      <c r="H81" s="6" t="s">
        <v>108</v>
      </c>
      <c r="I81" s="6"/>
    </row>
    <row r="82" customFormat="false" ht="15" hidden="false" customHeight="false" outlineLevel="0" collapsed="false">
      <c r="A82" s="4" t="n">
        <v>46268</v>
      </c>
      <c r="B82" s="5" t="s">
        <v>100</v>
      </c>
      <c r="C82" s="6" t="s">
        <v>101</v>
      </c>
      <c r="D82" s="7" t="n">
        <v>0.458333333333333</v>
      </c>
      <c r="E82" s="7" t="n">
        <v>0.833333333333333</v>
      </c>
      <c r="F82" s="6" t="n">
        <v>3</v>
      </c>
      <c r="G82" s="7" t="n">
        <v>0.643055555555556</v>
      </c>
      <c r="H82" s="6" t="s">
        <v>108</v>
      </c>
      <c r="I82" s="6"/>
    </row>
    <row r="83" customFormat="false" ht="15" hidden="false" customHeight="false" outlineLevel="0" collapsed="false">
      <c r="A83" s="4" t="n">
        <v>46268</v>
      </c>
      <c r="B83" s="5" t="s">
        <v>102</v>
      </c>
      <c r="C83" s="6" t="s">
        <v>103</v>
      </c>
      <c r="D83" s="8" t="n">
        <v>0.458333333333333</v>
      </c>
      <c r="E83" s="8" t="n">
        <v>0.833333333333333</v>
      </c>
      <c r="F83" s="6" t="n">
        <v>3</v>
      </c>
      <c r="G83" s="7" t="n">
        <v>0.681944444444445</v>
      </c>
      <c r="H83" s="6" t="s">
        <v>96</v>
      </c>
      <c r="I83" s="6"/>
    </row>
    <row r="84" customFormat="false" ht="15" hidden="false" customHeight="false" outlineLevel="0" collapsed="false">
      <c r="A84" s="4" t="n">
        <v>46268</v>
      </c>
      <c r="B84" s="5" t="s">
        <v>104</v>
      </c>
      <c r="C84" s="6" t="s">
        <v>105</v>
      </c>
      <c r="D84" s="7" t="n">
        <v>0.375</v>
      </c>
      <c r="E84" s="8" t="n">
        <v>0.854166666666667</v>
      </c>
      <c r="F84" s="6" t="n">
        <v>3</v>
      </c>
      <c r="G84" s="7" t="n">
        <v>0.579166666666667</v>
      </c>
      <c r="H84" s="6" t="s">
        <v>96</v>
      </c>
      <c r="I84" s="6"/>
    </row>
    <row r="85" customFormat="false" ht="15" hidden="false" customHeight="false" outlineLevel="0" collapsed="false">
      <c r="A85" s="4" t="n">
        <v>46268</v>
      </c>
      <c r="B85" s="5" t="s">
        <v>106</v>
      </c>
      <c r="C85" s="6" t="s">
        <v>107</v>
      </c>
      <c r="D85" s="7" t="n">
        <v>0.458333333333333</v>
      </c>
      <c r="E85" s="7" t="n">
        <v>0.895833333333333</v>
      </c>
      <c r="F85" s="6" t="n">
        <v>3</v>
      </c>
      <c r="G85" s="7" t="n">
        <v>0.68125</v>
      </c>
      <c r="H85" s="6" t="s">
        <v>108</v>
      </c>
      <c r="I85" s="6"/>
    </row>
    <row r="86" customFormat="false" ht="15" hidden="false" customHeight="false" outlineLevel="0" collapsed="false">
      <c r="A86" s="4" t="n">
        <v>46268</v>
      </c>
      <c r="B86" s="5" t="s">
        <v>94</v>
      </c>
      <c r="C86" s="6" t="s">
        <v>95</v>
      </c>
      <c r="D86" s="7" t="n">
        <v>0.375</v>
      </c>
      <c r="E86" s="7" t="n">
        <v>0.791666666666667</v>
      </c>
      <c r="F86" s="6" t="n">
        <v>4</v>
      </c>
      <c r="G86" s="7" t="n">
        <v>0.647916666666667</v>
      </c>
      <c r="H86" s="6" t="s">
        <v>108</v>
      </c>
      <c r="I86" s="6"/>
    </row>
    <row r="87" customFormat="false" ht="15" hidden="false" customHeight="false" outlineLevel="0" collapsed="false">
      <c r="A87" s="4" t="n">
        <v>46268</v>
      </c>
      <c r="B87" s="5" t="s">
        <v>97</v>
      </c>
      <c r="C87" s="6" t="s">
        <v>98</v>
      </c>
      <c r="D87" s="7" t="n">
        <v>0.541666666666667</v>
      </c>
      <c r="E87" s="7" t="n">
        <v>0.9375</v>
      </c>
      <c r="F87" s="6" t="n">
        <v>4</v>
      </c>
      <c r="G87" s="7" t="n">
        <v>0.710416666666667</v>
      </c>
      <c r="H87" s="6" t="s">
        <v>96</v>
      </c>
      <c r="I87" s="6" t="s">
        <v>132</v>
      </c>
    </row>
    <row r="88" customFormat="false" ht="15" hidden="false" customHeight="false" outlineLevel="0" collapsed="false">
      <c r="A88" s="4" t="n">
        <v>46268</v>
      </c>
      <c r="B88" s="5" t="s">
        <v>100</v>
      </c>
      <c r="C88" s="6" t="s">
        <v>101</v>
      </c>
      <c r="D88" s="7" t="n">
        <v>0.458333333333333</v>
      </c>
      <c r="E88" s="7" t="n">
        <v>0.833333333333333</v>
      </c>
      <c r="F88" s="6" t="n">
        <v>4</v>
      </c>
      <c r="G88" s="7" t="n">
        <v>0.730555555555556</v>
      </c>
      <c r="H88" s="6" t="s">
        <v>108</v>
      </c>
      <c r="I88" s="6"/>
    </row>
    <row r="89" customFormat="false" ht="15" hidden="false" customHeight="false" outlineLevel="0" collapsed="false">
      <c r="A89" s="4" t="n">
        <v>46268</v>
      </c>
      <c r="B89" s="5" t="s">
        <v>102</v>
      </c>
      <c r="C89" s="6" t="s">
        <v>103</v>
      </c>
      <c r="D89" s="8" t="n">
        <v>0.458333333333333</v>
      </c>
      <c r="E89" s="8" t="n">
        <v>0.833333333333333</v>
      </c>
      <c r="F89" s="6" t="n">
        <v>4</v>
      </c>
      <c r="G89" s="7" t="n">
        <v>0.749305555555556</v>
      </c>
      <c r="H89" s="6" t="s">
        <v>96</v>
      </c>
      <c r="I89" s="6"/>
    </row>
    <row r="90" customFormat="false" ht="15" hidden="false" customHeight="false" outlineLevel="0" collapsed="false">
      <c r="A90" s="4" t="n">
        <v>46268</v>
      </c>
      <c r="B90" s="5" t="s">
        <v>104</v>
      </c>
      <c r="C90" s="6" t="s">
        <v>105</v>
      </c>
      <c r="D90" s="7" t="n">
        <v>0.375</v>
      </c>
      <c r="E90" s="8" t="n">
        <v>0.854166666666667</v>
      </c>
      <c r="F90" s="6" t="n">
        <v>4</v>
      </c>
      <c r="G90" s="7" t="n">
        <v>0.647222222222222</v>
      </c>
      <c r="H90" s="6" t="s">
        <v>96</v>
      </c>
      <c r="I90" s="6" t="s">
        <v>133</v>
      </c>
    </row>
    <row r="91" customFormat="false" ht="15" hidden="false" customHeight="false" outlineLevel="0" collapsed="false">
      <c r="A91" s="4" t="n">
        <v>46268</v>
      </c>
      <c r="B91" s="5" t="s">
        <v>106</v>
      </c>
      <c r="C91" s="6" t="s">
        <v>107</v>
      </c>
      <c r="D91" s="7" t="n">
        <v>0.458333333333333</v>
      </c>
      <c r="E91" s="7" t="n">
        <v>0.895833333333333</v>
      </c>
      <c r="F91" s="6" t="n">
        <v>4</v>
      </c>
      <c r="G91" s="7" t="n">
        <v>0.73125</v>
      </c>
      <c r="H91" s="6" t="s">
        <v>108</v>
      </c>
      <c r="I91" s="6"/>
    </row>
    <row r="92" customFormat="false" ht="15" hidden="false" customHeight="false" outlineLevel="0" collapsed="false">
      <c r="A92" s="4" t="n">
        <v>46268</v>
      </c>
      <c r="B92" s="5" t="s">
        <v>94</v>
      </c>
      <c r="C92" s="6" t="s">
        <v>95</v>
      </c>
      <c r="D92" s="7" t="n">
        <v>0.375</v>
      </c>
      <c r="E92" s="7" t="n">
        <v>0.791666666666667</v>
      </c>
      <c r="F92" s="6" t="n">
        <v>5</v>
      </c>
      <c r="G92" s="7" t="n">
        <v>0.729861111111111</v>
      </c>
      <c r="H92" s="6" t="s">
        <v>108</v>
      </c>
      <c r="I92" s="6"/>
    </row>
    <row r="93" customFormat="false" ht="15" hidden="false" customHeight="false" outlineLevel="0" collapsed="false">
      <c r="A93" s="4" t="n">
        <v>46268</v>
      </c>
      <c r="B93" s="5" t="s">
        <v>97</v>
      </c>
      <c r="C93" s="6" t="s">
        <v>98</v>
      </c>
      <c r="D93" s="7" t="n">
        <v>0.541666666666667</v>
      </c>
      <c r="E93" s="7" t="n">
        <v>0.9375</v>
      </c>
      <c r="F93" s="6" t="n">
        <v>5</v>
      </c>
      <c r="G93" s="7" t="n">
        <v>0.758333333333333</v>
      </c>
      <c r="H93" s="6" t="s">
        <v>108</v>
      </c>
      <c r="I93" s="6"/>
    </row>
    <row r="94" customFormat="false" ht="15" hidden="false" customHeight="false" outlineLevel="0" collapsed="false">
      <c r="A94" s="4" t="n">
        <v>46268</v>
      </c>
      <c r="B94" s="5" t="s">
        <v>100</v>
      </c>
      <c r="C94" s="6" t="s">
        <v>101</v>
      </c>
      <c r="D94" s="7" t="n">
        <v>0.458333333333333</v>
      </c>
      <c r="E94" s="7" t="n">
        <v>0.833333333333333</v>
      </c>
      <c r="F94" s="6" t="n">
        <v>5</v>
      </c>
      <c r="G94" s="7" t="n">
        <v>0.800694444444445</v>
      </c>
      <c r="H94" s="6" t="s">
        <v>108</v>
      </c>
      <c r="I94" s="6"/>
    </row>
    <row r="95" customFormat="false" ht="15" hidden="false" customHeight="false" outlineLevel="0" collapsed="false">
      <c r="A95" s="4" t="n">
        <v>46268</v>
      </c>
      <c r="B95" s="5" t="s">
        <v>104</v>
      </c>
      <c r="C95" s="6" t="s">
        <v>105</v>
      </c>
      <c r="D95" s="7" t="n">
        <v>0.375</v>
      </c>
      <c r="E95" s="8" t="n">
        <v>0.854166666666667</v>
      </c>
      <c r="F95" s="6" t="n">
        <v>5</v>
      </c>
      <c r="G95" s="7" t="n">
        <v>0.731944444444444</v>
      </c>
      <c r="H95" s="6" t="s">
        <v>96</v>
      </c>
      <c r="I95" s="6"/>
    </row>
    <row r="96" customFormat="false" ht="15" hidden="false" customHeight="false" outlineLevel="0" collapsed="false">
      <c r="A96" s="4" t="n">
        <v>46268</v>
      </c>
      <c r="B96" s="5" t="s">
        <v>106</v>
      </c>
      <c r="C96" s="6" t="s">
        <v>107</v>
      </c>
      <c r="D96" s="7" t="n">
        <v>0.458333333333333</v>
      </c>
      <c r="E96" s="7" t="n">
        <v>0.895833333333333</v>
      </c>
      <c r="F96" s="6" t="n">
        <v>5</v>
      </c>
      <c r="G96" s="7" t="n">
        <v>0.804861111111111</v>
      </c>
      <c r="H96" s="6" t="s">
        <v>108</v>
      </c>
      <c r="I96" s="6"/>
    </row>
    <row r="97" customFormat="false" ht="15" hidden="false" customHeight="false" outlineLevel="0" collapsed="false">
      <c r="A97" s="4" t="n">
        <v>46268</v>
      </c>
      <c r="B97" s="5" t="s">
        <v>94</v>
      </c>
      <c r="C97" s="6" t="s">
        <v>95</v>
      </c>
      <c r="D97" s="7" t="n">
        <v>0.375</v>
      </c>
      <c r="E97" s="7" t="n">
        <v>0.791666666666667</v>
      </c>
      <c r="F97" s="6" t="n">
        <v>6</v>
      </c>
      <c r="G97" s="7" t="n">
        <v>0.806944444444445</v>
      </c>
      <c r="H97" s="6" t="s">
        <v>108</v>
      </c>
      <c r="I97" s="6"/>
    </row>
    <row r="98" customFormat="false" ht="15" hidden="false" customHeight="false" outlineLevel="0" collapsed="false">
      <c r="A98" s="4" t="n">
        <v>46268</v>
      </c>
      <c r="B98" s="5" t="s">
        <v>97</v>
      </c>
      <c r="C98" s="6" t="s">
        <v>98</v>
      </c>
      <c r="D98" s="7" t="n">
        <v>0.541666666666667</v>
      </c>
      <c r="E98" s="7" t="n">
        <v>0.9375</v>
      </c>
      <c r="F98" s="6" t="n">
        <v>6</v>
      </c>
      <c r="G98" s="7" t="n">
        <v>0.919444444444444</v>
      </c>
      <c r="H98" s="6" t="s">
        <v>96</v>
      </c>
      <c r="I98" s="6"/>
    </row>
    <row r="99" customFormat="false" ht="15" hidden="false" customHeight="false" outlineLevel="0" collapsed="false">
      <c r="A99" s="4" t="n">
        <v>46268</v>
      </c>
      <c r="B99" s="5" t="s">
        <v>104</v>
      </c>
      <c r="C99" s="6" t="s">
        <v>105</v>
      </c>
      <c r="D99" s="7" t="n">
        <v>0.375</v>
      </c>
      <c r="E99" s="8" t="n">
        <v>0.854166666666667</v>
      </c>
      <c r="F99" s="6" t="n">
        <v>6</v>
      </c>
      <c r="G99" s="7" t="n">
        <v>0.802083333333333</v>
      </c>
      <c r="H99" s="6" t="s">
        <v>96</v>
      </c>
      <c r="I99" s="6"/>
    </row>
    <row r="100" customFormat="false" ht="15" hidden="false" customHeight="false" outlineLevel="0" collapsed="false">
      <c r="A100" s="4" t="n">
        <v>46268</v>
      </c>
      <c r="B100" s="5" t="s">
        <v>106</v>
      </c>
      <c r="C100" s="6" t="s">
        <v>107</v>
      </c>
      <c r="D100" s="7" t="n">
        <v>0.458333333333333</v>
      </c>
      <c r="E100" s="7" t="n">
        <v>0.895833333333333</v>
      </c>
      <c r="F100" s="6" t="n">
        <v>6</v>
      </c>
      <c r="G100" s="7" t="n">
        <v>0.864583333333333</v>
      </c>
      <c r="H100" s="6" t="s">
        <v>108</v>
      </c>
      <c r="I100" s="6"/>
    </row>
    <row r="101" customFormat="false" ht="15" hidden="false" customHeight="false" outlineLevel="0" collapsed="false">
      <c r="A101" s="4" t="n">
        <v>46269</v>
      </c>
      <c r="B101" s="5" t="s">
        <v>94</v>
      </c>
      <c r="C101" s="6" t="s">
        <v>95</v>
      </c>
      <c r="D101" s="7" t="n">
        <v>0.375</v>
      </c>
      <c r="E101" s="7" t="n">
        <v>0.791666666666667</v>
      </c>
      <c r="F101" s="6" t="n">
        <v>1</v>
      </c>
      <c r="G101" s="7" t="n">
        <v>0.50625</v>
      </c>
      <c r="H101" s="6" t="s">
        <v>96</v>
      </c>
      <c r="I101" s="6"/>
    </row>
    <row r="102" customFormat="false" ht="15" hidden="false" customHeight="false" outlineLevel="0" collapsed="false">
      <c r="A102" s="4" t="n">
        <v>46269</v>
      </c>
      <c r="B102" s="5" t="s">
        <v>97</v>
      </c>
      <c r="C102" s="6" t="s">
        <v>98</v>
      </c>
      <c r="D102" s="7" t="n">
        <v>0.541666666666667</v>
      </c>
      <c r="E102" s="7" t="n">
        <v>0.9375</v>
      </c>
      <c r="F102" s="6" t="n">
        <v>1</v>
      </c>
      <c r="G102" s="7" t="n">
        <v>0.605555555555556</v>
      </c>
      <c r="H102" s="6" t="s">
        <v>96</v>
      </c>
      <c r="I102" s="6"/>
    </row>
    <row r="103" customFormat="false" ht="15" hidden="false" customHeight="false" outlineLevel="0" collapsed="false">
      <c r="A103" s="4" t="n">
        <v>46269</v>
      </c>
      <c r="B103" s="5" t="s">
        <v>100</v>
      </c>
      <c r="C103" s="6" t="s">
        <v>101</v>
      </c>
      <c r="D103" s="7" t="n">
        <v>0.458333333333333</v>
      </c>
      <c r="E103" s="7" t="n">
        <v>0.833333333333333</v>
      </c>
      <c r="F103" s="6" t="n">
        <v>1</v>
      </c>
      <c r="G103" s="7" t="n">
        <v>0.479861111111111</v>
      </c>
      <c r="H103" s="6" t="s">
        <v>108</v>
      </c>
      <c r="I103" s="6" t="s">
        <v>134</v>
      </c>
    </row>
    <row r="104" customFormat="false" ht="15" hidden="false" customHeight="false" outlineLevel="0" collapsed="false">
      <c r="A104" s="4" t="n">
        <v>46269</v>
      </c>
      <c r="B104" s="5" t="s">
        <v>102</v>
      </c>
      <c r="C104" s="6" t="s">
        <v>103</v>
      </c>
      <c r="D104" s="8" t="n">
        <v>0.458333333333333</v>
      </c>
      <c r="E104" s="8" t="n">
        <v>0.833333333333333</v>
      </c>
      <c r="F104" s="6" t="n">
        <v>1</v>
      </c>
      <c r="G104" s="7" t="n">
        <v>0.506944444444444</v>
      </c>
      <c r="H104" s="6" t="s">
        <v>96</v>
      </c>
      <c r="I104" s="6"/>
    </row>
    <row r="105" customFormat="false" ht="15" hidden="false" customHeight="false" outlineLevel="0" collapsed="false">
      <c r="A105" s="4" t="n">
        <v>46269</v>
      </c>
      <c r="B105" s="5" t="s">
        <v>104</v>
      </c>
      <c r="C105" s="6" t="s">
        <v>105</v>
      </c>
      <c r="D105" s="7" t="n">
        <v>0.375</v>
      </c>
      <c r="E105" s="8" t="n">
        <v>0.854166666666667</v>
      </c>
      <c r="F105" s="6" t="n">
        <v>1</v>
      </c>
      <c r="G105" s="7" t="n">
        <v>0.447916666666667</v>
      </c>
      <c r="H105" s="6" t="s">
        <v>96</v>
      </c>
      <c r="I105" s="6"/>
    </row>
    <row r="106" customFormat="false" ht="15" hidden="false" customHeight="false" outlineLevel="0" collapsed="false">
      <c r="A106" s="4" t="n">
        <v>46269</v>
      </c>
      <c r="B106" s="5" t="s">
        <v>106</v>
      </c>
      <c r="C106" s="6" t="s">
        <v>107</v>
      </c>
      <c r="D106" s="7" t="n">
        <v>0.458333333333333</v>
      </c>
      <c r="E106" s="7" t="n">
        <v>0.895833333333333</v>
      </c>
      <c r="F106" s="6" t="n">
        <v>1</v>
      </c>
      <c r="G106" s="7" t="n">
        <v>0.510416666666667</v>
      </c>
      <c r="H106" s="6"/>
      <c r="I106" s="6" t="s">
        <v>135</v>
      </c>
    </row>
    <row r="107" customFormat="false" ht="15" hidden="false" customHeight="false" outlineLevel="0" collapsed="false">
      <c r="A107" s="4" t="n">
        <v>46269</v>
      </c>
      <c r="B107" s="5" t="s">
        <v>94</v>
      </c>
      <c r="C107" s="6" t="s">
        <v>95</v>
      </c>
      <c r="D107" s="7" t="n">
        <v>0.375</v>
      </c>
      <c r="E107" s="7" t="n">
        <v>0.791666666666667</v>
      </c>
      <c r="F107" s="6" t="n">
        <v>2</v>
      </c>
      <c r="G107" s="7" t="n">
        <v>0.570138888888889</v>
      </c>
      <c r="H107" s="6" t="s">
        <v>108</v>
      </c>
      <c r="I107" s="6"/>
    </row>
    <row r="108" customFormat="false" ht="15" hidden="false" customHeight="false" outlineLevel="0" collapsed="false">
      <c r="A108" s="4" t="n">
        <v>46269</v>
      </c>
      <c r="B108" s="5" t="s">
        <v>97</v>
      </c>
      <c r="C108" s="6" t="s">
        <v>98</v>
      </c>
      <c r="D108" s="7" t="n">
        <v>0.541666666666667</v>
      </c>
      <c r="E108" s="7" t="n">
        <v>0.9375</v>
      </c>
      <c r="F108" s="6" t="n">
        <v>2</v>
      </c>
      <c r="G108" s="7" t="n">
        <v>0.695138888888889</v>
      </c>
      <c r="H108" s="6" t="s">
        <v>96</v>
      </c>
      <c r="I108" s="6"/>
    </row>
    <row r="109" customFormat="false" ht="15" hidden="false" customHeight="false" outlineLevel="0" collapsed="false">
      <c r="A109" s="4" t="n">
        <v>46269</v>
      </c>
      <c r="B109" s="5" t="s">
        <v>100</v>
      </c>
      <c r="C109" s="6" t="s">
        <v>101</v>
      </c>
      <c r="D109" s="7" t="n">
        <v>0.458333333333333</v>
      </c>
      <c r="E109" s="7" t="n">
        <v>0.833333333333333</v>
      </c>
      <c r="F109" s="6" t="n">
        <v>2</v>
      </c>
      <c r="G109" s="7" t="n">
        <v>0.727083333333333</v>
      </c>
      <c r="H109" s="6" t="s">
        <v>108</v>
      </c>
      <c r="I109" s="6" t="s">
        <v>136</v>
      </c>
    </row>
    <row r="110" customFormat="false" ht="15" hidden="false" customHeight="false" outlineLevel="0" collapsed="false">
      <c r="A110" s="4" t="n">
        <v>46269</v>
      </c>
      <c r="B110" s="5" t="s">
        <v>102</v>
      </c>
      <c r="C110" s="6" t="s">
        <v>103</v>
      </c>
      <c r="D110" s="8" t="n">
        <v>0.458333333333333</v>
      </c>
      <c r="E110" s="8" t="n">
        <v>0.833333333333333</v>
      </c>
      <c r="F110" s="6" t="n">
        <v>2</v>
      </c>
      <c r="G110" s="7" t="n">
        <v>0.571527777777778</v>
      </c>
      <c r="H110" s="6" t="s">
        <v>96</v>
      </c>
      <c r="I110" s="6"/>
    </row>
    <row r="111" customFormat="false" ht="15" hidden="false" customHeight="false" outlineLevel="0" collapsed="false">
      <c r="A111" s="4" t="n">
        <v>46269</v>
      </c>
      <c r="B111" s="5" t="s">
        <v>104</v>
      </c>
      <c r="C111" s="6" t="s">
        <v>105</v>
      </c>
      <c r="D111" s="7" t="n">
        <v>0.375</v>
      </c>
      <c r="E111" s="8" t="n">
        <v>0.854166666666667</v>
      </c>
      <c r="F111" s="6" t="n">
        <v>2</v>
      </c>
      <c r="G111" s="7" t="n">
        <v>0.592361111111111</v>
      </c>
      <c r="H111" s="6" t="s">
        <v>96</v>
      </c>
      <c r="I111" s="6"/>
    </row>
    <row r="112" customFormat="false" ht="15" hidden="false" customHeight="false" outlineLevel="0" collapsed="false">
      <c r="A112" s="4" t="n">
        <v>46269</v>
      </c>
      <c r="B112" s="5" t="s">
        <v>106</v>
      </c>
      <c r="C112" s="6" t="s">
        <v>107</v>
      </c>
      <c r="D112" s="7" t="n">
        <v>0.458333333333333</v>
      </c>
      <c r="E112" s="7" t="n">
        <v>0.895833333333333</v>
      </c>
      <c r="F112" s="6" t="n">
        <v>2</v>
      </c>
      <c r="G112" s="7" t="n">
        <v>0.560416666666667</v>
      </c>
      <c r="H112" s="6" t="s">
        <v>108</v>
      </c>
      <c r="I112" s="6"/>
    </row>
    <row r="113" customFormat="false" ht="15" hidden="false" customHeight="false" outlineLevel="0" collapsed="false">
      <c r="A113" s="4" t="n">
        <v>46269</v>
      </c>
      <c r="B113" s="5" t="s">
        <v>94</v>
      </c>
      <c r="C113" s="6" t="s">
        <v>95</v>
      </c>
      <c r="D113" s="7" t="n">
        <v>0.375</v>
      </c>
      <c r="E113" s="7" t="n">
        <v>0.791666666666667</v>
      </c>
      <c r="F113" s="6" t="n">
        <v>3</v>
      </c>
      <c r="G113" s="7" t="n">
        <v>0.625694444444444</v>
      </c>
      <c r="H113" s="6" t="s">
        <v>108</v>
      </c>
      <c r="I113" s="6"/>
    </row>
    <row r="114" customFormat="false" ht="15" hidden="false" customHeight="false" outlineLevel="0" collapsed="false">
      <c r="A114" s="4" t="n">
        <v>46269</v>
      </c>
      <c r="B114" s="5" t="s">
        <v>97</v>
      </c>
      <c r="C114" s="6" t="s">
        <v>98</v>
      </c>
      <c r="D114" s="7" t="n">
        <v>0.541666666666667</v>
      </c>
      <c r="E114" s="7" t="n">
        <v>0.9375</v>
      </c>
      <c r="F114" s="6" t="n">
        <v>3</v>
      </c>
      <c r="G114" s="7" t="n">
        <v>0.797916666666667</v>
      </c>
      <c r="H114" s="6" t="s">
        <v>96</v>
      </c>
      <c r="I114" s="6"/>
    </row>
    <row r="115" customFormat="false" ht="15" hidden="false" customHeight="false" outlineLevel="0" collapsed="false">
      <c r="A115" s="4" t="n">
        <v>46269</v>
      </c>
      <c r="B115" s="5" t="s">
        <v>102</v>
      </c>
      <c r="C115" s="6" t="s">
        <v>103</v>
      </c>
      <c r="D115" s="8" t="n">
        <v>0.458333333333333</v>
      </c>
      <c r="E115" s="8" t="n">
        <v>0.833333333333333</v>
      </c>
      <c r="F115" s="6" t="n">
        <v>3</v>
      </c>
      <c r="G115" s="7" t="n">
        <v>0.694444444444444</v>
      </c>
      <c r="H115" s="6" t="s">
        <v>96</v>
      </c>
      <c r="I115" s="6"/>
    </row>
    <row r="116" customFormat="false" ht="15" hidden="false" customHeight="false" outlineLevel="0" collapsed="false">
      <c r="A116" s="4" t="n">
        <v>46269</v>
      </c>
      <c r="B116" s="5" t="s">
        <v>104</v>
      </c>
      <c r="C116" s="6" t="s">
        <v>105</v>
      </c>
      <c r="D116" s="7" t="n">
        <v>0.375</v>
      </c>
      <c r="E116" s="8" t="n">
        <v>0.854166666666667</v>
      </c>
      <c r="F116" s="6" t="n">
        <v>3</v>
      </c>
      <c r="G116" s="7" t="n">
        <v>0.695138888888889</v>
      </c>
      <c r="H116" s="6" t="s">
        <v>96</v>
      </c>
      <c r="I116" s="6"/>
    </row>
    <row r="117" customFormat="false" ht="15" hidden="false" customHeight="false" outlineLevel="0" collapsed="false">
      <c r="A117" s="4" t="n">
        <v>46269</v>
      </c>
      <c r="B117" s="5" t="s">
        <v>106</v>
      </c>
      <c r="C117" s="6" t="s">
        <v>107</v>
      </c>
      <c r="D117" s="7" t="n">
        <v>0.458333333333333</v>
      </c>
      <c r="E117" s="7" t="n">
        <v>0.895833333333333</v>
      </c>
      <c r="F117" s="6" t="n">
        <v>3</v>
      </c>
      <c r="G117" s="7" t="n">
        <v>0.6125</v>
      </c>
      <c r="H117" s="6" t="s">
        <v>96</v>
      </c>
      <c r="I117" s="6" t="s">
        <v>137</v>
      </c>
    </row>
    <row r="118" customFormat="false" ht="15" hidden="false" customHeight="false" outlineLevel="0" collapsed="false">
      <c r="A118" s="4" t="n">
        <v>46269</v>
      </c>
      <c r="B118" s="5" t="s">
        <v>94</v>
      </c>
      <c r="C118" s="6" t="s">
        <v>95</v>
      </c>
      <c r="D118" s="7" t="n">
        <v>0.375</v>
      </c>
      <c r="E118" s="7" t="n">
        <v>0.791666666666667</v>
      </c>
      <c r="F118" s="6" t="n">
        <v>4</v>
      </c>
      <c r="G118" s="7" t="n">
        <v>0.695833333333333</v>
      </c>
      <c r="H118" s="6" t="s">
        <v>108</v>
      </c>
      <c r="I118" s="6"/>
    </row>
    <row r="119" customFormat="false" ht="15" hidden="false" customHeight="false" outlineLevel="0" collapsed="false">
      <c r="A119" s="4" t="n">
        <v>46269</v>
      </c>
      <c r="B119" s="5" t="s">
        <v>97</v>
      </c>
      <c r="C119" s="6" t="s">
        <v>98</v>
      </c>
      <c r="D119" s="7" t="n">
        <v>0.541666666666667</v>
      </c>
      <c r="E119" s="7" t="n">
        <v>0.9375</v>
      </c>
      <c r="F119" s="6" t="n">
        <v>4</v>
      </c>
      <c r="G119" s="7" t="n">
        <v>0.909027777777778</v>
      </c>
      <c r="H119" s="6" t="s">
        <v>96</v>
      </c>
      <c r="I119" s="6" t="s">
        <v>138</v>
      </c>
    </row>
    <row r="120" customFormat="false" ht="15" hidden="false" customHeight="false" outlineLevel="0" collapsed="false">
      <c r="A120" s="4" t="n">
        <v>46269</v>
      </c>
      <c r="B120" s="5" t="s">
        <v>102</v>
      </c>
      <c r="C120" s="6" t="s">
        <v>103</v>
      </c>
      <c r="D120" s="8" t="n">
        <v>0.458333333333333</v>
      </c>
      <c r="E120" s="8" t="n">
        <v>0.833333333333333</v>
      </c>
      <c r="F120" s="6" t="n">
        <v>4</v>
      </c>
      <c r="G120" s="7" t="n">
        <v>0.752083333333333</v>
      </c>
      <c r="H120" s="6" t="s">
        <v>96</v>
      </c>
      <c r="I120" s="6"/>
    </row>
    <row r="121" customFormat="false" ht="15" hidden="false" customHeight="false" outlineLevel="0" collapsed="false">
      <c r="A121" s="4" t="n">
        <v>46269</v>
      </c>
      <c r="B121" s="5" t="s">
        <v>104</v>
      </c>
      <c r="C121" s="6" t="s">
        <v>105</v>
      </c>
      <c r="D121" s="7" t="n">
        <v>0.375</v>
      </c>
      <c r="E121" s="8" t="n">
        <v>0.854166666666667</v>
      </c>
      <c r="F121" s="6" t="n">
        <v>4</v>
      </c>
      <c r="G121" s="7" t="n">
        <v>0.820833333333333</v>
      </c>
      <c r="H121" s="6" t="s">
        <v>96</v>
      </c>
      <c r="I121" s="6"/>
    </row>
    <row r="122" customFormat="false" ht="15" hidden="false" customHeight="false" outlineLevel="0" collapsed="false">
      <c r="A122" s="4" t="n">
        <v>46269</v>
      </c>
      <c r="B122" s="5" t="s">
        <v>106</v>
      </c>
      <c r="C122" s="6" t="s">
        <v>107</v>
      </c>
      <c r="D122" s="7" t="n">
        <v>0.458333333333333</v>
      </c>
      <c r="E122" s="7" t="n">
        <v>0.895833333333333</v>
      </c>
      <c r="F122" s="6" t="n">
        <v>4</v>
      </c>
      <c r="G122" s="7" t="n">
        <v>0.726388888888889</v>
      </c>
      <c r="H122" s="6" t="s">
        <v>96</v>
      </c>
      <c r="I122" s="6"/>
    </row>
    <row r="123" customFormat="false" ht="15" hidden="false" customHeight="false" outlineLevel="0" collapsed="false">
      <c r="A123" s="4" t="n">
        <v>46269</v>
      </c>
      <c r="B123" s="5" t="s">
        <v>94</v>
      </c>
      <c r="C123" s="6" t="s">
        <v>95</v>
      </c>
      <c r="D123" s="7" t="n">
        <v>0.375</v>
      </c>
      <c r="E123" s="7" t="n">
        <v>0.791666666666667</v>
      </c>
      <c r="F123" s="6" t="n">
        <v>5</v>
      </c>
      <c r="G123" s="7" t="n">
        <v>0.797222222222222</v>
      </c>
      <c r="H123" s="6" t="s">
        <v>108</v>
      </c>
      <c r="I123" s="6"/>
    </row>
    <row r="124" customFormat="false" ht="15" hidden="false" customHeight="false" outlineLevel="0" collapsed="false">
      <c r="A124" s="4" t="n">
        <v>46269</v>
      </c>
      <c r="B124" s="5" t="s">
        <v>102</v>
      </c>
      <c r="C124" s="6" t="s">
        <v>103</v>
      </c>
      <c r="D124" s="8" t="n">
        <v>0.458333333333333</v>
      </c>
      <c r="E124" s="8" t="n">
        <v>0.833333333333333</v>
      </c>
      <c r="F124" s="6" t="n">
        <v>5</v>
      </c>
      <c r="G124" s="7" t="n">
        <v>0.820833333333333</v>
      </c>
      <c r="H124" s="6" t="s">
        <v>108</v>
      </c>
      <c r="I124" s="6"/>
    </row>
    <row r="125" customFormat="false" ht="15" hidden="false" customHeight="false" outlineLevel="0" collapsed="false">
      <c r="A125" s="16" t="n">
        <v>46269</v>
      </c>
      <c r="B125" s="17" t="s">
        <v>106</v>
      </c>
      <c r="C125" s="18" t="s">
        <v>107</v>
      </c>
      <c r="D125" s="19" t="n">
        <v>0.458333333333333</v>
      </c>
      <c r="E125" s="19" t="n">
        <v>0.895833333333333</v>
      </c>
      <c r="F125" s="12" t="n">
        <v>5</v>
      </c>
      <c r="G125" s="7" t="n">
        <v>0.820833333333333</v>
      </c>
      <c r="H125" s="6" t="s">
        <v>108</v>
      </c>
      <c r="I125" s="6"/>
    </row>
    <row r="126" customFormat="false" ht="15" hidden="false" customHeight="false" outlineLevel="0" collapsed="false">
      <c r="A126" s="20"/>
      <c r="B126" s="21"/>
      <c r="C126" s="22"/>
      <c r="D126" s="23"/>
      <c r="E126" s="24"/>
      <c r="F126" s="25"/>
      <c r="G126" s="26"/>
      <c r="H126" s="26"/>
      <c r="I126" s="26"/>
    </row>
    <row r="127" customFormat="false" ht="15" hidden="false" customHeight="false" outlineLevel="0" collapsed="false">
      <c r="A127" s="20"/>
      <c r="B127" s="21"/>
      <c r="C127" s="22"/>
      <c r="D127" s="23"/>
      <c r="E127" s="23"/>
      <c r="F127" s="27"/>
      <c r="G127" s="28"/>
      <c r="H127" s="28"/>
      <c r="I127" s="28"/>
    </row>
    <row r="128" customFormat="false" ht="15" hidden="false" customHeight="false" outlineLevel="0" collapsed="false">
      <c r="A128" s="20"/>
      <c r="B128" s="21"/>
      <c r="C128" s="22"/>
      <c r="D128" s="23"/>
      <c r="E128" s="23"/>
      <c r="F128" s="27"/>
      <c r="G128" s="28"/>
      <c r="H128" s="28"/>
      <c r="I128" s="28"/>
    </row>
    <row r="129" customFormat="false" ht="15" hidden="false" customHeight="false" outlineLevel="0" collapsed="false">
      <c r="A129" s="20"/>
      <c r="B129" s="21"/>
      <c r="C129" s="22"/>
      <c r="D129" s="23"/>
      <c r="E129" s="23"/>
      <c r="F129" s="27"/>
      <c r="G129" s="28"/>
      <c r="H129" s="28"/>
      <c r="I129" s="28"/>
    </row>
    <row r="130" customFormat="false" ht="15" hidden="false" customHeight="false" outlineLevel="0" collapsed="false">
      <c r="A130" s="20"/>
      <c r="B130" s="21"/>
      <c r="C130" s="22"/>
      <c r="D130" s="23"/>
      <c r="E130" s="24"/>
      <c r="F130" s="27"/>
      <c r="G130" s="28"/>
      <c r="H130" s="28"/>
      <c r="I130" s="28"/>
    </row>
    <row r="131" customFormat="false" ht="15" hidden="false" customHeight="false" outlineLevel="0" collapsed="false">
      <c r="A131" s="20"/>
      <c r="B131" s="21"/>
      <c r="C131" s="22"/>
      <c r="D131" s="23"/>
      <c r="E131" s="23"/>
      <c r="F131" s="27"/>
      <c r="G131" s="28"/>
      <c r="H131" s="28"/>
      <c r="I131" s="28"/>
    </row>
    <row r="132" customFormat="false" ht="15" hidden="false" customHeight="false" outlineLevel="0" collapsed="false">
      <c r="A132" s="26"/>
      <c r="B132" s="26"/>
      <c r="C132" s="26"/>
      <c r="D132" s="26"/>
      <c r="E132" s="26"/>
      <c r="F132" s="28"/>
      <c r="G132" s="28"/>
      <c r="H132" s="28"/>
      <c r="I132" s="28"/>
    </row>
    <row r="133" customFormat="false" ht="15" hidden="false" customHeight="false" outlineLevel="0" collapsed="false">
      <c r="A133" s="28"/>
      <c r="B133" s="28"/>
      <c r="C133" s="28"/>
      <c r="D133" s="28"/>
      <c r="E133" s="28"/>
      <c r="F133" s="28"/>
      <c r="G133" s="28"/>
      <c r="H133" s="28"/>
      <c r="I133" s="28"/>
    </row>
    <row r="134" customFormat="false" ht="15" hidden="false" customHeight="false" outlineLevel="0" collapsed="false">
      <c r="A134" s="28"/>
      <c r="B134" s="28"/>
      <c r="C134" s="28"/>
      <c r="D134" s="28"/>
      <c r="E134" s="28"/>
      <c r="F134" s="28"/>
      <c r="G134" s="28"/>
      <c r="H134" s="28"/>
      <c r="I134" s="28"/>
    </row>
    <row r="135" customFormat="false" ht="15" hidden="false" customHeight="false" outlineLevel="0" collapsed="false">
      <c r="A135" s="28"/>
      <c r="B135" s="28"/>
      <c r="C135" s="28"/>
      <c r="D135" s="28"/>
      <c r="E135" s="28"/>
      <c r="F135" s="28"/>
      <c r="G135" s="28"/>
      <c r="H135" s="28"/>
      <c r="I135" s="28"/>
    </row>
    <row r="136" customFormat="false" ht="15" hidden="false" customHeight="false" outlineLevel="0" collapsed="false">
      <c r="A136" s="28"/>
      <c r="B136" s="28"/>
      <c r="C136" s="28"/>
      <c r="D136" s="28"/>
      <c r="E136" s="28"/>
      <c r="F136" s="28"/>
      <c r="G136" s="28"/>
      <c r="H136" s="28"/>
      <c r="I136" s="28"/>
    </row>
    <row r="137" customFormat="false" ht="15" hidden="false" customHeight="false" outlineLevel="0" collapsed="false">
      <c r="A137" s="28"/>
      <c r="B137" s="28"/>
      <c r="C137" s="28"/>
      <c r="D137" s="28"/>
      <c r="E137" s="28"/>
      <c r="F137" s="28"/>
      <c r="G137" s="28"/>
      <c r="H137" s="28"/>
      <c r="I137" s="28"/>
    </row>
    <row r="138" customFormat="false" ht="15" hidden="false" customHeight="false" outlineLevel="0" collapsed="false">
      <c r="A138" s="28"/>
      <c r="B138" s="28"/>
      <c r="C138" s="28"/>
      <c r="D138" s="28"/>
      <c r="E138" s="28"/>
      <c r="F138" s="28"/>
      <c r="G138" s="28"/>
      <c r="H138" s="28"/>
      <c r="I138" s="28"/>
    </row>
    <row r="139" customFormat="false" ht="15" hidden="false" customHeight="false" outlineLevel="0" collapsed="false">
      <c r="A139" s="28"/>
      <c r="B139" s="28"/>
      <c r="C139" s="28"/>
      <c r="D139" s="28"/>
      <c r="E139" s="28"/>
      <c r="F139" s="28"/>
      <c r="G139" s="28"/>
      <c r="H139" s="28"/>
      <c r="I139" s="28"/>
    </row>
    <row r="140" customFormat="false" ht="15" hidden="false" customHeight="false" outlineLevel="0" collapsed="false">
      <c r="A140" s="28"/>
      <c r="B140" s="28"/>
      <c r="C140" s="28"/>
      <c r="D140" s="28"/>
      <c r="E140" s="28"/>
      <c r="F140" s="28"/>
      <c r="G140" s="28"/>
      <c r="H140" s="28"/>
      <c r="I140" s="28"/>
    </row>
    <row r="141" customFormat="false" ht="15" hidden="false" customHeight="false" outlineLevel="0" collapsed="false">
      <c r="A141" s="28"/>
      <c r="B141" s="28"/>
      <c r="C141" s="28"/>
      <c r="D141" s="28"/>
      <c r="E141" s="28"/>
      <c r="F141" s="28"/>
      <c r="G141" s="28"/>
      <c r="H141" s="28"/>
      <c r="I141" s="28"/>
    </row>
    <row r="142" customFormat="false" ht="15" hidden="false" customHeight="false" outlineLevel="0" collapsed="false">
      <c r="A142" s="28"/>
      <c r="B142" s="28"/>
      <c r="C142" s="28"/>
      <c r="D142" s="28"/>
      <c r="E142" s="28"/>
      <c r="F142" s="28"/>
      <c r="G142" s="28"/>
      <c r="H142" s="28"/>
      <c r="I142" s="28"/>
    </row>
    <row r="143" customFormat="false" ht="15" hidden="false" customHeight="false" outlineLevel="0" collapsed="false">
      <c r="A143" s="28"/>
      <c r="B143" s="28"/>
      <c r="C143" s="28"/>
      <c r="D143" s="28"/>
      <c r="E143" s="28"/>
      <c r="F143" s="28"/>
      <c r="G143" s="28"/>
      <c r="H143" s="28"/>
      <c r="I143" s="28"/>
    </row>
    <row r="144" customFormat="false" ht="15" hidden="false" customHeight="false" outlineLevel="0" collapsed="false">
      <c r="A144" s="28"/>
      <c r="B144" s="28"/>
      <c r="C144" s="28"/>
      <c r="D144" s="28"/>
      <c r="E144" s="28"/>
      <c r="F144" s="28"/>
      <c r="G144" s="28"/>
      <c r="H144" s="28"/>
      <c r="I144" s="28"/>
    </row>
    <row r="145" customFormat="false" ht="15" hidden="false" customHeight="false" outlineLevel="0" collapsed="false">
      <c r="A145" s="28"/>
      <c r="B145" s="28"/>
      <c r="C145" s="28"/>
      <c r="D145" s="28"/>
      <c r="E145" s="28"/>
      <c r="F145" s="28"/>
      <c r="G145" s="28"/>
      <c r="H145" s="28"/>
      <c r="I145" s="28"/>
    </row>
    <row r="146" customFormat="false" ht="15" hidden="false" customHeight="false" outlineLevel="0" collapsed="false">
      <c r="A146" s="28"/>
      <c r="B146" s="28"/>
      <c r="C146" s="28"/>
      <c r="D146" s="28"/>
      <c r="E146" s="28"/>
      <c r="F146" s="28"/>
      <c r="G146" s="28"/>
      <c r="H146" s="28"/>
      <c r="I146" s="28"/>
    </row>
    <row r="147" customFormat="false" ht="15" hidden="false" customHeight="false" outlineLevel="0" collapsed="false">
      <c r="A147" s="28"/>
      <c r="B147" s="28"/>
      <c r="C147" s="28"/>
      <c r="D147" s="28"/>
      <c r="E147" s="28"/>
      <c r="F147" s="28"/>
      <c r="G147" s="28"/>
      <c r="H147" s="28"/>
      <c r="I147" s="28"/>
    </row>
    <row r="148" customFormat="false" ht="15" hidden="false" customHeight="false" outlineLevel="0" collapsed="false">
      <c r="A148" s="28"/>
      <c r="B148" s="28"/>
      <c r="C148" s="28"/>
      <c r="D148" s="28"/>
      <c r="E148" s="28"/>
      <c r="F148" s="28"/>
      <c r="G148" s="28"/>
      <c r="H148" s="28"/>
      <c r="I148" s="28"/>
    </row>
    <row r="149" customFormat="false" ht="15" hidden="false" customHeight="false" outlineLevel="0" collapsed="false">
      <c r="A149" s="28"/>
      <c r="B149" s="28"/>
      <c r="C149" s="28"/>
      <c r="D149" s="28"/>
      <c r="E149" s="28"/>
      <c r="F149" s="28"/>
      <c r="G149" s="28"/>
      <c r="H149" s="28"/>
      <c r="I149" s="28"/>
    </row>
    <row r="150" customFormat="false" ht="15" hidden="false" customHeight="false" outlineLevel="0" collapsed="false">
      <c r="A150" s="28"/>
      <c r="B150" s="28"/>
      <c r="C150" s="28"/>
      <c r="D150" s="28"/>
      <c r="E150" s="28"/>
      <c r="F150" s="28"/>
      <c r="G150" s="28"/>
      <c r="H150" s="28"/>
      <c r="I150" s="28"/>
    </row>
    <row r="151" customFormat="false" ht="15" hidden="false" customHeight="false" outlineLevel="0" collapsed="false">
      <c r="A151" s="28"/>
      <c r="B151" s="28"/>
      <c r="C151" s="28"/>
      <c r="D151" s="28"/>
      <c r="E151" s="28"/>
      <c r="F151" s="28"/>
      <c r="G151" s="28"/>
      <c r="H151" s="28"/>
      <c r="I151" s="28"/>
    </row>
    <row r="152" customFormat="false" ht="15" hidden="false" customHeight="false" outlineLevel="0" collapsed="false">
      <c r="A152" s="28"/>
      <c r="B152" s="28"/>
      <c r="C152" s="28"/>
      <c r="D152" s="28"/>
      <c r="E152" s="28"/>
      <c r="F152" s="28"/>
      <c r="G152" s="28"/>
      <c r="H152" s="28"/>
      <c r="I152" s="28"/>
    </row>
    <row r="153" customFormat="false" ht="15" hidden="false" customHeight="false" outlineLevel="0" collapsed="false">
      <c r="A153" s="28"/>
      <c r="B153" s="28"/>
      <c r="C153" s="28"/>
      <c r="D153" s="28"/>
      <c r="E153" s="28"/>
      <c r="F153" s="28"/>
      <c r="G153" s="28"/>
      <c r="H153" s="28"/>
      <c r="I153" s="28"/>
    </row>
    <row r="154" customFormat="false" ht="15" hidden="false" customHeight="false" outlineLevel="0" collapsed="false">
      <c r="A154" s="28"/>
      <c r="B154" s="28"/>
      <c r="C154" s="28"/>
      <c r="D154" s="28"/>
      <c r="E154" s="28"/>
      <c r="F154" s="28"/>
      <c r="G154" s="28"/>
      <c r="H154" s="28"/>
      <c r="I154" s="28"/>
    </row>
    <row r="155" customFormat="false" ht="15" hidden="false" customHeight="false" outlineLevel="0" collapsed="false">
      <c r="A155" s="28"/>
      <c r="B155" s="28"/>
      <c r="C155" s="28"/>
      <c r="D155" s="28"/>
      <c r="E155" s="28"/>
      <c r="F155" s="28"/>
      <c r="G155" s="28"/>
      <c r="H155" s="28"/>
      <c r="I155" s="28"/>
    </row>
    <row r="156" customFormat="false" ht="15" hidden="false" customHeight="false" outlineLevel="0" collapsed="false">
      <c r="A156" s="28"/>
      <c r="B156" s="28"/>
      <c r="C156" s="28"/>
      <c r="D156" s="28"/>
      <c r="E156" s="28"/>
      <c r="F156" s="28"/>
      <c r="G156" s="28"/>
      <c r="H156" s="28"/>
      <c r="I156" s="28"/>
    </row>
    <row r="157" customFormat="false" ht="15" hidden="false" customHeight="false" outlineLevel="0" collapsed="false">
      <c r="A157" s="28"/>
      <c r="B157" s="28"/>
      <c r="C157" s="28"/>
      <c r="D157" s="28"/>
      <c r="E157" s="28"/>
      <c r="F157" s="28"/>
      <c r="G157" s="28"/>
      <c r="H157" s="28"/>
      <c r="I157" s="28"/>
    </row>
    <row r="158" customFormat="false" ht="15" hidden="false" customHeight="false" outlineLevel="0" collapsed="false">
      <c r="A158" s="28"/>
      <c r="B158" s="28"/>
      <c r="C158" s="28"/>
      <c r="D158" s="28"/>
      <c r="E158" s="28"/>
      <c r="F158" s="28"/>
      <c r="G158" s="28"/>
      <c r="H158" s="28"/>
      <c r="I158" s="28"/>
    </row>
    <row r="159" customFormat="false" ht="15" hidden="false" customHeight="false" outlineLevel="0" collapsed="false">
      <c r="A159" s="28"/>
      <c r="B159" s="28"/>
      <c r="C159" s="28"/>
      <c r="D159" s="28"/>
      <c r="E159" s="28"/>
      <c r="F159" s="28"/>
      <c r="G159" s="28"/>
      <c r="H159" s="28"/>
      <c r="I159" s="28"/>
    </row>
    <row r="160" customFormat="false" ht="15" hidden="false" customHeight="false" outlineLevel="0" collapsed="false">
      <c r="A160" s="28"/>
      <c r="B160" s="28"/>
      <c r="C160" s="28"/>
      <c r="D160" s="28"/>
      <c r="E160" s="28"/>
      <c r="F160" s="28"/>
      <c r="G160" s="28"/>
      <c r="H160" s="28"/>
      <c r="I160" s="28"/>
    </row>
    <row r="161" customFormat="false" ht="15" hidden="false" customHeight="false" outlineLevel="0" collapsed="false">
      <c r="A161" s="28"/>
      <c r="B161" s="28"/>
      <c r="C161" s="28"/>
      <c r="D161" s="28"/>
      <c r="E161" s="28"/>
      <c r="F161" s="28"/>
      <c r="G161" s="28"/>
      <c r="H161" s="28"/>
      <c r="I161" s="28"/>
    </row>
    <row r="162" customFormat="false" ht="15" hidden="false" customHeight="false" outlineLevel="0" collapsed="false">
      <c r="A162" s="28"/>
      <c r="B162" s="28"/>
      <c r="C162" s="28"/>
      <c r="D162" s="28"/>
      <c r="E162" s="28"/>
      <c r="F162" s="28"/>
      <c r="G162" s="28"/>
      <c r="H162" s="28"/>
      <c r="I162" s="28"/>
    </row>
    <row r="163" customFormat="false" ht="15" hidden="false" customHeight="false" outlineLevel="0" collapsed="false">
      <c r="A163" s="28"/>
      <c r="B163" s="28"/>
      <c r="C163" s="28"/>
      <c r="D163" s="28"/>
      <c r="E163" s="28"/>
      <c r="F163" s="28"/>
      <c r="G163" s="28"/>
      <c r="H163" s="28"/>
      <c r="I163" s="28"/>
    </row>
    <row r="164" customFormat="false" ht="15" hidden="false" customHeight="false" outlineLevel="0" collapsed="false">
      <c r="A164" s="28"/>
      <c r="B164" s="28"/>
      <c r="C164" s="28"/>
      <c r="D164" s="28"/>
      <c r="E164" s="28"/>
      <c r="F164" s="28"/>
      <c r="G164" s="28"/>
      <c r="H164" s="28"/>
      <c r="I164" s="28"/>
    </row>
    <row r="165" customFormat="false" ht="15" hidden="false" customHeight="false" outlineLevel="0" collapsed="false">
      <c r="A165" s="28"/>
      <c r="B165" s="28"/>
      <c r="C165" s="28"/>
      <c r="D165" s="28"/>
      <c r="E165" s="28"/>
      <c r="F165" s="28"/>
      <c r="G165" s="28"/>
      <c r="H165" s="28"/>
      <c r="I165" s="28"/>
    </row>
    <row r="166" customFormat="false" ht="15" hidden="false" customHeight="false" outlineLevel="0" collapsed="false">
      <c r="A166" s="28"/>
      <c r="B166" s="28"/>
      <c r="C166" s="28"/>
      <c r="D166" s="28"/>
      <c r="E166" s="28"/>
      <c r="F166" s="28"/>
      <c r="G166" s="28"/>
      <c r="H166" s="28"/>
      <c r="I166" s="28"/>
    </row>
    <row r="167" customFormat="false" ht="15" hidden="false" customHeight="false" outlineLevel="0" collapsed="false">
      <c r="A167" s="28"/>
      <c r="B167" s="28"/>
      <c r="C167" s="28"/>
      <c r="D167" s="28"/>
      <c r="E167" s="28"/>
      <c r="F167" s="28"/>
      <c r="G167" s="28"/>
      <c r="H167" s="28"/>
      <c r="I167" s="28"/>
    </row>
    <row r="168" customFormat="false" ht="15" hidden="false" customHeight="false" outlineLevel="0" collapsed="false">
      <c r="A168" s="28"/>
      <c r="B168" s="28"/>
      <c r="C168" s="28"/>
      <c r="D168" s="28"/>
      <c r="E168" s="28"/>
      <c r="F168" s="28"/>
      <c r="G168" s="28"/>
      <c r="H168" s="28"/>
      <c r="I168" s="28"/>
    </row>
    <row r="169" customFormat="false" ht="15" hidden="false" customHeight="false" outlineLevel="0" collapsed="false">
      <c r="A169" s="28"/>
      <c r="B169" s="28"/>
      <c r="C169" s="28"/>
      <c r="D169" s="28"/>
      <c r="E169" s="28"/>
      <c r="F169" s="28"/>
      <c r="G169" s="28"/>
      <c r="H169" s="28"/>
      <c r="I169" s="28"/>
    </row>
    <row r="170" customFormat="false" ht="15" hidden="false" customHeight="false" outlineLevel="0" collapsed="false">
      <c r="A170" s="28"/>
      <c r="B170" s="28"/>
      <c r="C170" s="28"/>
      <c r="D170" s="28"/>
      <c r="E170" s="28"/>
      <c r="F170" s="28"/>
      <c r="G170" s="28"/>
      <c r="H170" s="28"/>
      <c r="I170" s="28"/>
    </row>
    <row r="171" customFormat="false" ht="15" hidden="false" customHeight="false" outlineLevel="0" collapsed="false">
      <c r="A171" s="28"/>
      <c r="B171" s="28"/>
      <c r="C171" s="28"/>
      <c r="D171" s="28"/>
      <c r="E171" s="28"/>
      <c r="F171" s="28"/>
      <c r="G171" s="28"/>
      <c r="H171" s="28"/>
      <c r="I171" s="28"/>
    </row>
    <row r="172" customFormat="false" ht="15" hidden="false" customHeight="false" outlineLevel="0" collapsed="false">
      <c r="A172" s="28"/>
      <c r="B172" s="28"/>
      <c r="C172" s="28"/>
      <c r="D172" s="28"/>
      <c r="E172" s="28"/>
      <c r="F172" s="28"/>
      <c r="G172" s="28"/>
      <c r="H172" s="28"/>
      <c r="I172" s="28"/>
    </row>
    <row r="173" customFormat="false" ht="15" hidden="false" customHeight="false" outlineLevel="0" collapsed="false">
      <c r="A173" s="28"/>
      <c r="B173" s="28"/>
      <c r="C173" s="28"/>
      <c r="D173" s="28"/>
      <c r="E173" s="28"/>
      <c r="F173" s="28"/>
      <c r="G173" s="28"/>
      <c r="H173" s="28"/>
      <c r="I173" s="28"/>
    </row>
    <row r="174" customFormat="false" ht="15" hidden="false" customHeight="false" outlineLevel="0" collapsed="false">
      <c r="A174" s="28"/>
      <c r="B174" s="28"/>
      <c r="C174" s="28"/>
      <c r="D174" s="28"/>
      <c r="E174" s="28"/>
      <c r="F174" s="28"/>
      <c r="G174" s="28"/>
      <c r="H174" s="28"/>
      <c r="I174" s="28"/>
    </row>
    <row r="175" customFormat="false" ht="15" hidden="false" customHeight="false" outlineLevel="0" collapsed="false">
      <c r="A175" s="28"/>
      <c r="B175" s="28"/>
      <c r="C175" s="28"/>
      <c r="D175" s="28"/>
      <c r="E175" s="28"/>
      <c r="F175" s="28"/>
      <c r="G175" s="28"/>
      <c r="H175" s="28"/>
      <c r="I175" s="28"/>
    </row>
    <row r="176" customFormat="false" ht="15" hidden="false" customHeight="false" outlineLevel="0" collapsed="false">
      <c r="A176" s="28"/>
      <c r="B176" s="28"/>
      <c r="C176" s="28"/>
      <c r="D176" s="28"/>
      <c r="E176" s="28"/>
      <c r="F176" s="28"/>
      <c r="G176" s="28"/>
      <c r="H176" s="28"/>
      <c r="I176" s="28"/>
    </row>
    <row r="177" customFormat="false" ht="15" hidden="false" customHeight="false" outlineLevel="0" collapsed="false">
      <c r="A177" s="28"/>
      <c r="B177" s="28"/>
      <c r="C177" s="28"/>
      <c r="D177" s="28"/>
      <c r="E177" s="28"/>
      <c r="F177" s="28"/>
      <c r="G177" s="28"/>
      <c r="H177" s="28"/>
      <c r="I177" s="28"/>
    </row>
    <row r="178" customFormat="false" ht="15" hidden="false" customHeight="false" outlineLevel="0" collapsed="false">
      <c r="A178" s="28"/>
      <c r="B178" s="28"/>
      <c r="C178" s="28"/>
      <c r="D178" s="28"/>
      <c r="E178" s="28"/>
      <c r="F178" s="28"/>
      <c r="G178" s="28"/>
      <c r="H178" s="28"/>
      <c r="I178" s="28"/>
    </row>
    <row r="179" customFormat="false" ht="15" hidden="false" customHeight="false" outlineLevel="0" collapsed="false">
      <c r="A179" s="28"/>
      <c r="B179" s="28"/>
      <c r="C179" s="28"/>
      <c r="D179" s="28"/>
      <c r="E179" s="28"/>
      <c r="F179" s="28"/>
      <c r="G179" s="28"/>
      <c r="H179" s="28"/>
      <c r="I179" s="28"/>
    </row>
    <row r="180" customFormat="false" ht="15" hidden="false" customHeight="false" outlineLevel="0" collapsed="false">
      <c r="A180" s="28"/>
      <c r="B180" s="28"/>
      <c r="C180" s="28"/>
      <c r="D180" s="28"/>
      <c r="E180" s="28"/>
      <c r="F180" s="28"/>
      <c r="G180" s="28"/>
      <c r="H180" s="28"/>
      <c r="I180" s="28"/>
    </row>
    <row r="181" customFormat="false" ht="15" hidden="false" customHeight="false" outlineLevel="0" collapsed="false">
      <c r="A181" s="28"/>
      <c r="B181" s="28"/>
      <c r="C181" s="28"/>
      <c r="D181" s="28"/>
      <c r="E181" s="28"/>
      <c r="F181" s="28"/>
      <c r="G181" s="28"/>
      <c r="H181" s="28"/>
      <c r="I181" s="28"/>
    </row>
    <row r="182" customFormat="false" ht="15" hidden="false" customHeight="false" outlineLevel="0" collapsed="false">
      <c r="A182" s="28"/>
      <c r="B182" s="28"/>
      <c r="C182" s="28"/>
      <c r="D182" s="28"/>
      <c r="E182" s="28"/>
      <c r="F182" s="28"/>
      <c r="G182" s="28"/>
      <c r="H182" s="28"/>
      <c r="I182" s="28"/>
    </row>
    <row r="183" customFormat="false" ht="15" hidden="false" customHeight="false" outlineLevel="0" collapsed="false">
      <c r="A183" s="28"/>
      <c r="B183" s="28"/>
      <c r="C183" s="28"/>
      <c r="D183" s="28"/>
      <c r="E183" s="28"/>
      <c r="F183" s="28"/>
      <c r="G183" s="28"/>
      <c r="H183" s="28"/>
      <c r="I183" s="28"/>
    </row>
    <row r="184" customFormat="false" ht="15" hidden="false" customHeight="false" outlineLevel="0" collapsed="false">
      <c r="A184" s="28"/>
      <c r="B184" s="28"/>
      <c r="C184" s="28"/>
      <c r="D184" s="28"/>
      <c r="E184" s="28"/>
      <c r="F184" s="28"/>
      <c r="G184" s="28"/>
      <c r="H184" s="28"/>
      <c r="I184" s="28"/>
    </row>
    <row r="185" customFormat="false" ht="15" hidden="false" customHeight="false" outlineLevel="0" collapsed="false">
      <c r="A185" s="28"/>
      <c r="B185" s="28"/>
      <c r="C185" s="28"/>
      <c r="D185" s="28"/>
      <c r="E185" s="28"/>
      <c r="F185" s="28"/>
      <c r="G185" s="28"/>
      <c r="H185" s="28"/>
      <c r="I185" s="28"/>
    </row>
    <row r="186" customFormat="false" ht="15" hidden="false" customHeight="false" outlineLevel="0" collapsed="false">
      <c r="A186" s="28"/>
      <c r="B186" s="28"/>
      <c r="C186" s="28"/>
      <c r="D186" s="28"/>
      <c r="E186" s="28"/>
      <c r="F186" s="28"/>
      <c r="G186" s="28"/>
      <c r="H186" s="28"/>
      <c r="I186" s="28"/>
    </row>
    <row r="187" customFormat="false" ht="15" hidden="false" customHeight="false" outlineLevel="0" collapsed="false">
      <c r="A187" s="28"/>
      <c r="B187" s="28"/>
      <c r="C187" s="28"/>
      <c r="D187" s="28"/>
      <c r="E187" s="28"/>
      <c r="F187" s="28"/>
      <c r="G187" s="28"/>
      <c r="H187" s="28"/>
      <c r="I187" s="28"/>
    </row>
    <row r="188" customFormat="false" ht="15" hidden="false" customHeight="false" outlineLevel="0" collapsed="false">
      <c r="A188" s="28"/>
      <c r="B188" s="28"/>
      <c r="C188" s="28"/>
      <c r="D188" s="28"/>
      <c r="E188" s="28"/>
      <c r="F188" s="28"/>
      <c r="G188" s="28"/>
      <c r="H188" s="28"/>
      <c r="I188" s="28"/>
    </row>
    <row r="189" customFormat="false" ht="15" hidden="false" customHeight="false" outlineLevel="0" collapsed="false">
      <c r="A189" s="28"/>
      <c r="B189" s="28"/>
      <c r="C189" s="28"/>
      <c r="D189" s="28"/>
      <c r="E189" s="28"/>
      <c r="F189" s="28"/>
      <c r="G189" s="28"/>
      <c r="H189" s="28"/>
      <c r="I189" s="28"/>
    </row>
    <row r="190" customFormat="false" ht="15" hidden="false" customHeight="false" outlineLevel="0" collapsed="false">
      <c r="A190" s="28"/>
      <c r="B190" s="28"/>
      <c r="C190" s="28"/>
      <c r="D190" s="28"/>
      <c r="E190" s="28"/>
      <c r="F190" s="28"/>
      <c r="G190" s="28"/>
      <c r="H190" s="28"/>
      <c r="I190" s="28"/>
    </row>
    <row r="191" customFormat="false" ht="15" hidden="false" customHeight="false" outlineLevel="0" collapsed="false">
      <c r="A191" s="28"/>
      <c r="B191" s="28"/>
      <c r="C191" s="28"/>
      <c r="D191" s="28"/>
      <c r="E191" s="28"/>
      <c r="F191" s="28"/>
      <c r="G191" s="28"/>
      <c r="H191" s="28"/>
      <c r="I191" s="28"/>
    </row>
    <row r="192" customFormat="false" ht="15" hidden="false" customHeight="false" outlineLevel="0" collapsed="false">
      <c r="A192" s="28"/>
      <c r="B192" s="28"/>
      <c r="C192" s="28"/>
      <c r="D192" s="28"/>
      <c r="E192" s="28"/>
      <c r="F192" s="28"/>
      <c r="G192" s="28"/>
      <c r="H192" s="28"/>
      <c r="I192" s="28"/>
    </row>
  </sheetData>
  <mergeCells count="1">
    <mergeCell ref="K1:M1"/>
  </mergeCells>
  <dataValidations count="2">
    <dataValidation allowBlank="true" errorStyle="stop" operator="between" showDropDown="false" showErrorMessage="false" showInputMessage="false" sqref="H2:H74 H76:H193" type="list">
      <formula1>"Y,N"</formula1>
      <formula2>0</formula2>
    </dataValidation>
    <dataValidation allowBlank="true" errorStyle="stop" operator="between" showDropDown="false" showErrorMessage="false" showInputMessage="false" sqref="F2:F124 F126:F193" type="list">
      <formula1>"1,2,3,4"</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D31" activeCellId="0" sqref="D31"/>
    </sheetView>
  </sheetViews>
  <sheetFormatPr defaultColWidth="8.66796875" defaultRowHeight="15" zeroHeight="false" outlineLevelRow="0" outlineLevelCol="0"/>
  <cols>
    <col collapsed="false" customWidth="true" hidden="false" outlineLevel="0" max="1" min="1" style="0" width="30.67"/>
    <col collapsed="false" customWidth="true" hidden="false" outlineLevel="0" max="2" min="2" style="0" width="39.66"/>
    <col collapsed="false" customWidth="true" hidden="false" outlineLevel="0" max="3" min="3" style="0" width="26.16"/>
    <col collapsed="false" customWidth="true" hidden="false" outlineLevel="0" max="4" min="4" style="0" width="31.67"/>
    <col collapsed="false" customWidth="true" hidden="false" outlineLevel="0" max="5" min="5" style="0" width="38.51"/>
    <col collapsed="false" customWidth="true" hidden="false" outlineLevel="0" max="6" min="6" style="0" width="74.5"/>
    <col collapsed="false" customWidth="true" hidden="false" outlineLevel="0" max="7" min="7" style="0" width="55"/>
  </cols>
  <sheetData>
    <row r="1" customFormat="false" ht="31.5" hidden="false" customHeight="true" outlineLevel="0" collapsed="false">
      <c r="A1" s="29" t="s">
        <v>85</v>
      </c>
      <c r="B1" s="29" t="s">
        <v>86</v>
      </c>
      <c r="C1" s="29" t="s">
        <v>139</v>
      </c>
      <c r="D1" s="29" t="s">
        <v>140</v>
      </c>
      <c r="E1" s="29" t="s">
        <v>141</v>
      </c>
      <c r="F1" s="29" t="s">
        <v>142</v>
      </c>
      <c r="G1" s="30"/>
    </row>
    <row r="2" customFormat="false" ht="21.75" hidden="false" customHeight="true" outlineLevel="0" collapsed="false">
      <c r="A2" s="31" t="n">
        <v>46266</v>
      </c>
      <c r="B2" s="5" t="s">
        <v>94</v>
      </c>
      <c r="C2" s="6" t="n">
        <f aca="false">IF(OR(A2="",B2=""),"",COUNTIFS('Nudge Log'!$A$3:$A$193,A2,'Nudge Log'!$B$3:$B$193,B2))</f>
        <v>4</v>
      </c>
      <c r="D2" s="6" t="n">
        <v>1</v>
      </c>
      <c r="E2" s="32" t="n">
        <f aca="false">IF(OR(C2="",C2=0),"",D2/C2)</f>
        <v>0.25</v>
      </c>
      <c r="F2" s="12"/>
      <c r="G2" s="33"/>
      <c r="H2" s="33"/>
      <c r="I2" s="33"/>
    </row>
    <row r="3" customFormat="false" ht="15" hidden="false" customHeight="true" outlineLevel="0" collapsed="false">
      <c r="A3" s="31" t="n">
        <v>46266</v>
      </c>
      <c r="B3" s="5" t="s">
        <v>97</v>
      </c>
      <c r="C3" s="6" t="n">
        <f aca="false">IF(OR(A3="",B3=""),"",COUNTIFS('Nudge Log'!$A$3:$A$193,A3,'Nudge Log'!$B$3:$B$193,B3))</f>
        <v>6</v>
      </c>
      <c r="D3" s="6" t="n">
        <f aca="false">IF(OR(A3="",B3=""),"",COUNTIFS('Nudge Log'!$A$3:$A$193,A3,'Nudge Log'!$B$3:$B$193,B3,'Nudge Log'!$H$3:$H$193,"Y"))</f>
        <v>6</v>
      </c>
      <c r="E3" s="32" t="n">
        <f aca="false">IF(OR(C3="",C3=0),"",D3/C3)</f>
        <v>1</v>
      </c>
      <c r="F3" s="12"/>
      <c r="G3" s="33"/>
      <c r="H3" s="33"/>
      <c r="I3" s="33"/>
    </row>
    <row r="4" customFormat="false" ht="15" hidden="false" customHeight="true" outlineLevel="0" collapsed="false">
      <c r="A4" s="31" t="n">
        <v>46266</v>
      </c>
      <c r="B4" s="5" t="s">
        <v>100</v>
      </c>
      <c r="C4" s="6" t="n">
        <f aca="false">IF(OR(A4="",B4=""),"",COUNTIFS('Nudge Log'!$A$3:$A$193,A4,'Nudge Log'!$B$3:$B$193,B4))</f>
        <v>5</v>
      </c>
      <c r="D4" s="6" t="n">
        <f aca="false">IF(OR(A4="",B4=""),"",COUNTIFS('Nudge Log'!$A$3:$A$193,A4,'Nudge Log'!$B$3:$B$193,B4,'Nudge Log'!$H$3:$H$193,"Y"))</f>
        <v>4</v>
      </c>
      <c r="E4" s="32" t="n">
        <f aca="false">IF(OR(C4="",C4=0),"",D4/C4)</f>
        <v>0.8</v>
      </c>
      <c r="F4" s="12"/>
      <c r="G4" s="33"/>
      <c r="H4" s="33"/>
      <c r="I4" s="33"/>
    </row>
    <row r="5" customFormat="false" ht="15" hidden="false" customHeight="false" outlineLevel="0" collapsed="false">
      <c r="A5" s="31" t="n">
        <v>46266</v>
      </c>
      <c r="B5" s="5" t="s">
        <v>102</v>
      </c>
      <c r="C5" s="6" t="n">
        <f aca="false">IF(OR(A5="",B5=""),"",COUNTIFS('Nudge Log'!$A$3:$A$193,A5,'Nudge Log'!$B$3:$B$193,B5))</f>
        <v>6</v>
      </c>
      <c r="D5" s="6" t="n">
        <f aca="false">IF(OR(A5="",B5=""),"",COUNTIFS('Nudge Log'!$A$3:$A$193,A5,'Nudge Log'!$B$3:$B$193,B5,'Nudge Log'!$H$3:$H$193,"Y"))</f>
        <v>6</v>
      </c>
      <c r="E5" s="32" t="n">
        <f aca="false">IF(OR(C5="",C5=0),"",D5/C5)</f>
        <v>1</v>
      </c>
      <c r="F5" s="12"/>
    </row>
    <row r="6" customFormat="false" ht="15" hidden="false" customHeight="false" outlineLevel="0" collapsed="false">
      <c r="A6" s="31" t="n">
        <v>46266</v>
      </c>
      <c r="B6" s="5" t="s">
        <v>104</v>
      </c>
      <c r="C6" s="6" t="n">
        <f aca="false">IF(OR(A6="",B6=""),"",COUNTIFS('Nudge Log'!$A$3:$A$193,A6,'Nudge Log'!$B$3:$B$193,B6))</f>
        <v>6</v>
      </c>
      <c r="D6" s="6" t="n">
        <f aca="false">IF(OR(A6="",B6=""),"",COUNTIFS('Nudge Log'!$A$3:$A$193,A6,'Nudge Log'!$B$3:$B$193,B6,'Nudge Log'!$H$3:$H$193,"Y"))</f>
        <v>5</v>
      </c>
      <c r="E6" s="32" t="n">
        <f aca="false">IF(OR(C6="",C6=0),"",D6/C6)</f>
        <v>0.833333333333333</v>
      </c>
      <c r="F6" s="12"/>
    </row>
    <row r="7" customFormat="false" ht="15" hidden="false" customHeight="false" outlineLevel="0" collapsed="false">
      <c r="A7" s="31" t="n">
        <v>46266</v>
      </c>
      <c r="B7" s="5" t="s">
        <v>106</v>
      </c>
      <c r="C7" s="6" t="n">
        <f aca="false">IF(OR(A7="",B7=""),"",COUNTIFS('Nudge Log'!$A$3:$A$193,A7,'Nudge Log'!$B$3:$B$193,B7))</f>
        <v>6</v>
      </c>
      <c r="D7" s="6" t="n">
        <f aca="false">IF(OR(A7="",B7=""),"",COUNTIFS('Nudge Log'!$A$3:$A$193,A7,'Nudge Log'!$B$3:$B$193,B7,'Nudge Log'!$H$3:$H$193,"Y"))</f>
        <v>3</v>
      </c>
      <c r="E7" s="32" t="n">
        <f aca="false">IF(OR(C7="",C7=0),"",D7/C7)</f>
        <v>0.5</v>
      </c>
      <c r="F7" s="12"/>
    </row>
    <row r="8" customFormat="false" ht="15" hidden="false" customHeight="false" outlineLevel="0" collapsed="false">
      <c r="A8" s="31" t="n">
        <v>46267</v>
      </c>
      <c r="B8" s="5" t="s">
        <v>94</v>
      </c>
      <c r="C8" s="6" t="n">
        <v>6</v>
      </c>
      <c r="D8" s="6" t="n">
        <v>2</v>
      </c>
      <c r="E8" s="32" t="n">
        <f aca="false">IF(OR(C8="",C8=0),"",D8/C8)</f>
        <v>0.333333333333333</v>
      </c>
      <c r="F8" s="12" t="s">
        <v>143</v>
      </c>
    </row>
    <row r="9" customFormat="false" ht="15" hidden="false" customHeight="false" outlineLevel="0" collapsed="false">
      <c r="A9" s="31" t="n">
        <v>46267</v>
      </c>
      <c r="B9" s="5" t="s">
        <v>97</v>
      </c>
      <c r="C9" s="6" t="n">
        <f aca="false">IF(OR(A8="",B9=""),"",COUNTIFS('Nudge Log'!$A$3:$A$193,A8,'Nudge Log'!$B$3:$B$193,B9))</f>
        <v>6</v>
      </c>
      <c r="D9" s="6" t="n">
        <f aca="false">IF(OR(A8="",B9=""),"",COUNTIFS('Nudge Log'!$A$3:$A$193,A8,'Nudge Log'!$B$3:$B$193,B9,'Nudge Log'!$H$3:$H$193,"Y"))</f>
        <v>5</v>
      </c>
      <c r="E9" s="32" t="n">
        <f aca="false">IF(OR(C9="",C9=0),"",D9/C9)</f>
        <v>0.833333333333333</v>
      </c>
      <c r="F9" s="12"/>
    </row>
    <row r="10" customFormat="false" ht="15" hidden="false" customHeight="false" outlineLevel="0" collapsed="false">
      <c r="A10" s="31" t="n">
        <v>46267</v>
      </c>
      <c r="B10" s="5" t="s">
        <v>100</v>
      </c>
      <c r="C10" s="6" t="n">
        <f aca="false">IF(OR(A10="",B10=""),"",COUNTIFS('Nudge Log'!$A$3:$A$193,A10,'Nudge Log'!$B$3:$B$193,B10))</f>
        <v>5</v>
      </c>
      <c r="D10" s="6" t="n">
        <f aca="false">IF(OR(A10="",B10=""),"",COUNTIFS('Nudge Log'!$A$3:$A$193,A10,'Nudge Log'!$B$3:$B$193,B10,'Nudge Log'!$H$3:$H$193,"Y"))</f>
        <v>2</v>
      </c>
      <c r="E10" s="32" t="n">
        <f aca="false">IF(OR(C10="",C10=0),"",D10/C10)</f>
        <v>0.4</v>
      </c>
      <c r="F10" s="12"/>
    </row>
    <row r="11" customFormat="false" ht="15" hidden="false" customHeight="false" outlineLevel="0" collapsed="false">
      <c r="A11" s="31" t="n">
        <v>46267</v>
      </c>
      <c r="B11" s="5" t="s">
        <v>102</v>
      </c>
      <c r="C11" s="6" t="n">
        <f aca="false">IF(OR(A11="",B11=""),"",COUNTIFS('Nudge Log'!$A$3:$A$193,A11,'Nudge Log'!$B$3:$B$193,B11))</f>
        <v>5</v>
      </c>
      <c r="D11" s="6" t="n">
        <f aca="false">IF(OR(A11="",B11=""),"",COUNTIFS('Nudge Log'!$A$3:$A$193,A11,'Nudge Log'!$B$3:$B$193,B11,'Nudge Log'!$H$3:$H$193,"Y"))</f>
        <v>5</v>
      </c>
      <c r="E11" s="32" t="n">
        <f aca="false">IF(OR(C11="",C11=0),"",D11/C11)</f>
        <v>1</v>
      </c>
      <c r="F11" s="12"/>
    </row>
    <row r="12" customFormat="false" ht="15" hidden="false" customHeight="false" outlineLevel="0" collapsed="false">
      <c r="A12" s="31" t="n">
        <v>46267</v>
      </c>
      <c r="B12" s="5" t="s">
        <v>104</v>
      </c>
      <c r="C12" s="6" t="n">
        <f aca="false">IF(OR(A12="",B12=""),"",COUNTIFS('Nudge Log'!$A$3:$A$193,A12,'Nudge Log'!$B$3:$B$193,B12))</f>
        <v>5</v>
      </c>
      <c r="D12" s="6" t="n">
        <f aca="false">IF(OR(A12="",B12=""),"",COUNTIFS('Nudge Log'!$A$3:$A$193,A12,'Nudge Log'!$B$3:$B$193,B12,'Nudge Log'!$H$3:$H$193,"Y"))</f>
        <v>3</v>
      </c>
      <c r="E12" s="32" t="n">
        <f aca="false">IF(OR(C12="",C12=0),"",D12/C12)</f>
        <v>0.6</v>
      </c>
      <c r="F12" s="12"/>
    </row>
    <row r="13" customFormat="false" ht="15" hidden="false" customHeight="false" outlineLevel="0" collapsed="false">
      <c r="A13" s="31" t="n">
        <v>46267</v>
      </c>
      <c r="B13" s="5" t="s">
        <v>106</v>
      </c>
      <c r="C13" s="6" t="n">
        <f aca="false">IF(OR(A13="",B13=""),"",COUNTIFS('Nudge Log'!$A$3:$A$193,A13,'Nudge Log'!$B$3:$B$193,B13))</f>
        <v>5</v>
      </c>
      <c r="D13" s="6" t="n">
        <f aca="false">IF(OR(A13="",B13=""),"",COUNTIFS('Nudge Log'!$A$3:$A$193,A13,'Nudge Log'!$B$3:$B$193,B13,'Nudge Log'!$H$3:$H$193,"Y"))</f>
        <v>5</v>
      </c>
      <c r="E13" s="32" t="n">
        <f aca="false">IF(OR(C13="",C13=0),"",D13/C13)</f>
        <v>1</v>
      </c>
      <c r="F13" s="12"/>
    </row>
    <row r="14" customFormat="false" ht="15" hidden="false" customHeight="false" outlineLevel="0" collapsed="false">
      <c r="A14" s="31" t="n">
        <v>46268</v>
      </c>
      <c r="B14" s="5" t="s">
        <v>94</v>
      </c>
      <c r="C14" s="6" t="n">
        <f aca="false">IF(OR(A14="",B14=""),"",COUNTIFS('Nudge Log'!$A$3:$A$193,A14,'Nudge Log'!$B$3:$B$193,B14))</f>
        <v>6</v>
      </c>
      <c r="D14" s="6" t="n">
        <f aca="false">IF(OR(A14="",B14=""),"",COUNTIFS('Nudge Log'!$A$3:$A$193,A14,'Nudge Log'!$B$3:$B$193,B14,'Nudge Log'!$H$3:$H$193,"Y"))</f>
        <v>0</v>
      </c>
      <c r="E14" s="32" t="n">
        <f aca="false">IF(OR(C14="",C14=0),"",D14/C14)</f>
        <v>0</v>
      </c>
      <c r="F14" s="12" t="s">
        <v>143</v>
      </c>
    </row>
    <row r="15" customFormat="false" ht="15" hidden="false" customHeight="false" outlineLevel="0" collapsed="false">
      <c r="A15" s="31" t="n">
        <v>46268</v>
      </c>
      <c r="B15" s="5" t="s">
        <v>97</v>
      </c>
      <c r="C15" s="6" t="n">
        <f aca="false">IF(OR(A15="",B15=""),"",COUNTIFS('Nudge Log'!$A$3:$A$193,A15,'Nudge Log'!$B$3:$B$193,B15))</f>
        <v>6</v>
      </c>
      <c r="D15" s="6" t="n">
        <f aca="false">IF(OR(A15="",B15=""),"",COUNTIFS('Nudge Log'!$A$3:$A$193,A15,'Nudge Log'!$B$3:$B$193,B15,'Nudge Log'!$H$3:$H$193,"Y"))</f>
        <v>3</v>
      </c>
      <c r="E15" s="32" t="n">
        <f aca="false">IF(OR(C15="",C15=0),"",D15/C15)</f>
        <v>0.5</v>
      </c>
      <c r="F15" s="12"/>
    </row>
    <row r="16" customFormat="false" ht="15" hidden="false" customHeight="false" outlineLevel="0" collapsed="false">
      <c r="A16" s="31" t="n">
        <v>46268</v>
      </c>
      <c r="B16" s="5" t="s">
        <v>100</v>
      </c>
      <c r="C16" s="6" t="n">
        <f aca="false">IF(OR(A16="",B16=""),"",COUNTIFS('Nudge Log'!$A$3:$A$193,A16,'Nudge Log'!$B$3:$B$193,B16))</f>
        <v>5</v>
      </c>
      <c r="D16" s="6" t="n">
        <f aca="false">IF(OR(A16="",B16=""),"",COUNTIFS('Nudge Log'!$A$3:$A$193,A16,'Nudge Log'!$B$3:$B$193,B16,'Nudge Log'!$H$3:$H$193,"Y"))</f>
        <v>0</v>
      </c>
      <c r="E16" s="32" t="n">
        <f aca="false">IF(OR(C16="",C16=0),"",D16/C16)</f>
        <v>0</v>
      </c>
      <c r="F16" s="12" t="s">
        <v>144</v>
      </c>
    </row>
    <row r="17" customFormat="false" ht="15" hidden="false" customHeight="false" outlineLevel="0" collapsed="false">
      <c r="A17" s="31" t="n">
        <v>46268</v>
      </c>
      <c r="B17" s="5" t="s">
        <v>102</v>
      </c>
      <c r="C17" s="6" t="n">
        <f aca="false">IF(OR(A17="",B17=""),"",COUNTIFS('Nudge Log'!$A$3:$A$193,A17,'Nudge Log'!$B$3:$B$193,B17))</f>
        <v>4</v>
      </c>
      <c r="D17" s="6" t="n">
        <f aca="false">IF(OR(A17="",B17=""),"",COUNTIFS('Nudge Log'!$A$3:$A$193,A17,'Nudge Log'!$B$3:$B$193,B17,'Nudge Log'!$H$3:$H$193,"Y"))</f>
        <v>4</v>
      </c>
      <c r="E17" s="32" t="n">
        <f aca="false">IF(OR(C17="",C17=0),"",D17/C17)</f>
        <v>1</v>
      </c>
      <c r="F17" s="12"/>
    </row>
    <row r="18" customFormat="false" ht="15" hidden="false" customHeight="false" outlineLevel="0" collapsed="false">
      <c r="A18" s="31" t="n">
        <v>46268</v>
      </c>
      <c r="B18" s="5" t="s">
        <v>104</v>
      </c>
      <c r="C18" s="6" t="n">
        <f aca="false">IF(OR(A18="",B18=""),"",COUNTIFS('Nudge Log'!$A$3:$A$193,A18,'Nudge Log'!$B$3:$B$193,B18))</f>
        <v>6</v>
      </c>
      <c r="D18" s="6" t="n">
        <f aca="false">IF(OR(A18="",B18=""),"",COUNTIFS('Nudge Log'!$A$3:$A$193,A18,'Nudge Log'!$B$3:$B$193,B18,'Nudge Log'!$H$3:$H$193,"Y"))</f>
        <v>5</v>
      </c>
      <c r="E18" s="32" t="n">
        <f aca="false">IF(OR(C18="",C18=0),"",D18/C18)</f>
        <v>0.833333333333333</v>
      </c>
      <c r="F18" s="12"/>
    </row>
    <row r="19" customFormat="false" ht="15.75" hidden="false" customHeight="true" outlineLevel="0" collapsed="false">
      <c r="A19" s="31" t="n">
        <v>46268</v>
      </c>
      <c r="B19" s="5" t="s">
        <v>106</v>
      </c>
      <c r="C19" s="6" t="n">
        <f aca="false">IF(OR(A19="",B19=""),"",COUNTIFS('Nudge Log'!$A$3:$A$193,A19,'Nudge Log'!$B$3:$B$193,B19))</f>
        <v>6</v>
      </c>
      <c r="D19" s="6" t="n">
        <f aca="false">IF(OR(A19="",B19=""),"",COUNTIFS('Nudge Log'!$A$3:$A$193,A19,'Nudge Log'!$B$3:$B$193,B19,'Nudge Log'!$H$3:$H$193,"Y"))</f>
        <v>0</v>
      </c>
      <c r="E19" s="32" t="n">
        <f aca="false">IF(OR(C19="",C19=0),"",D19/C19)</f>
        <v>0</v>
      </c>
      <c r="F19" s="34" t="s">
        <v>145</v>
      </c>
    </row>
    <row r="20" customFormat="false" ht="15" hidden="false" customHeight="false" outlineLevel="0" collapsed="false">
      <c r="A20" s="31" t="n">
        <v>46269</v>
      </c>
      <c r="B20" s="5" t="s">
        <v>94</v>
      </c>
      <c r="C20" s="6" t="n">
        <f aca="false">IF(OR(A20="",B20=""),"",COUNTIFS('Nudge Log'!$A$3:$A$193,A20,'Nudge Log'!$B$3:$B$193,B20))</f>
        <v>5</v>
      </c>
      <c r="D20" s="6" t="n">
        <f aca="false">IF(OR(A20="",B20=""),"",COUNTIFS('Nudge Log'!$A$3:$A$193,A20,'Nudge Log'!$B$3:$B$193,B20,'Nudge Log'!$H$3:$H$193,"Y"))</f>
        <v>1</v>
      </c>
      <c r="E20" s="32" t="n">
        <f aca="false">IF(OR(C20="",C20=0),"",D20/C20)</f>
        <v>0.2</v>
      </c>
      <c r="F20" s="12" t="s">
        <v>143</v>
      </c>
    </row>
    <row r="21" customFormat="false" ht="15" hidden="false" customHeight="false" outlineLevel="0" collapsed="false">
      <c r="A21" s="31" t="n">
        <v>46269</v>
      </c>
      <c r="B21" s="5" t="s">
        <v>97</v>
      </c>
      <c r="C21" s="6" t="n">
        <f aca="false">IF(OR(A21="",B21=""),"",COUNTIFS('Nudge Log'!$A$3:$A$193,A21,'Nudge Log'!$B$3:$B$193,B21))</f>
        <v>4</v>
      </c>
      <c r="D21" s="6" t="n">
        <f aca="false">IF(OR(A21="",B21=""),"",COUNTIFS('Nudge Log'!$A$3:$A$193,A21,'Nudge Log'!$B$3:$B$193,B21,'Nudge Log'!$H$3:$H$193,"Y"))</f>
        <v>4</v>
      </c>
      <c r="E21" s="32" t="n">
        <f aca="false">IF(OR(C21="",C21=0),"",D21/C21)</f>
        <v>1</v>
      </c>
      <c r="F21" s="12"/>
    </row>
    <row r="22" customFormat="false" ht="15" hidden="false" customHeight="false" outlineLevel="0" collapsed="false">
      <c r="A22" s="31" t="n">
        <v>46269</v>
      </c>
      <c r="B22" s="5" t="s">
        <v>100</v>
      </c>
      <c r="C22" s="6" t="n">
        <f aca="false">IF(OR(A22="",B22=""),"",COUNTIFS('Nudge Log'!$A$3:$A$193,A22,'Nudge Log'!$B$3:$B$193,B22))</f>
        <v>2</v>
      </c>
      <c r="D22" s="6" t="n">
        <f aca="false">IF(OR(A22="",B22=""),"",COUNTIFS('Nudge Log'!$A$3:$A$193,A22,'Nudge Log'!$B$3:$B$193,B22,'Nudge Log'!$H$3:$H$193,"Y"))</f>
        <v>0</v>
      </c>
      <c r="E22" s="32" t="n">
        <f aca="false">IF(OR(C22="",C22=0),"",D22/C22)</f>
        <v>0</v>
      </c>
      <c r="F22" s="12" t="s">
        <v>144</v>
      </c>
    </row>
    <row r="23" customFormat="false" ht="15" hidden="false" customHeight="false" outlineLevel="0" collapsed="false">
      <c r="A23" s="31" t="n">
        <v>46269</v>
      </c>
      <c r="B23" s="5" t="s">
        <v>102</v>
      </c>
      <c r="C23" s="6" t="n">
        <f aca="false">IF(OR(A23="",B23=""),"",COUNTIFS('Nudge Log'!$A$3:$A$193,A23,'Nudge Log'!$B$3:$B$193,B23))</f>
        <v>5</v>
      </c>
      <c r="D23" s="6" t="n">
        <f aca="false">IF(OR(A23="",B23=""),"",COUNTIFS('Nudge Log'!$A$3:$A$193,A23,'Nudge Log'!$B$3:$B$193,B23,'Nudge Log'!$H$3:$H$193,"Y"))</f>
        <v>4</v>
      </c>
      <c r="E23" s="32" t="n">
        <f aca="false">IF(OR(C23="",C23=0),"",D23/C23)</f>
        <v>0.8</v>
      </c>
      <c r="F23" s="12"/>
    </row>
    <row r="24" customFormat="false" ht="15" hidden="false" customHeight="false" outlineLevel="0" collapsed="false">
      <c r="A24" s="31" t="n">
        <v>46269</v>
      </c>
      <c r="B24" s="5" t="s">
        <v>104</v>
      </c>
      <c r="C24" s="6" t="n">
        <f aca="false">IF(OR(A24="",B24=""),"",COUNTIFS('Nudge Log'!$A$3:$A$193,A24,'Nudge Log'!$B$3:$B$193,B24))</f>
        <v>4</v>
      </c>
      <c r="D24" s="6" t="n">
        <f aca="false">IF(OR(A24="",B24=""),"",COUNTIFS('Nudge Log'!$A$3:$A$193,A24,'Nudge Log'!$B$3:$B$193,B24,'Nudge Log'!$H$3:$H$193,"Y"))</f>
        <v>4</v>
      </c>
      <c r="E24" s="32" t="n">
        <f aca="false">IF(OR(C24="",C24=0),"",D24/C24)</f>
        <v>1</v>
      </c>
      <c r="F24" s="12"/>
    </row>
    <row r="25" customFormat="false" ht="15" hidden="false" customHeight="false" outlineLevel="0" collapsed="false">
      <c r="A25" s="31" t="n">
        <v>46269</v>
      </c>
      <c r="B25" s="5" t="s">
        <v>106</v>
      </c>
      <c r="C25" s="6" t="n">
        <f aca="false">IF(OR(A25="",B25=""),"",COUNTIFS('Nudge Log'!$A$3:$A$193,A25,'Nudge Log'!$B$3:$B$193,B25))</f>
        <v>5</v>
      </c>
      <c r="D25" s="6" t="n">
        <f aca="false">IF(OR(A25="",B25=""),"",COUNTIFS('Nudge Log'!$A$3:$A$193,A25,'Nudge Log'!$B$3:$B$193,B25,'Nudge Log'!$H$3:$H$193,"Y"))</f>
        <v>2</v>
      </c>
      <c r="E25" s="32" t="n">
        <f aca="false">IF(OR(C25="",C25=0),"",D25/C25)</f>
        <v>0.4</v>
      </c>
      <c r="F25" s="12" t="s">
        <v>146</v>
      </c>
    </row>
    <row r="26" customFormat="false" ht="15" hidden="false" customHeight="false" outlineLevel="0" collapsed="false">
      <c r="A26" s="26"/>
      <c r="B26" s="26"/>
      <c r="C26" s="26" t="str">
        <f aca="false">IF(OR(A26="",B26=""),"",COUNTIFS('Nudge Log'!$A$3:$A$193,A26,'Nudge Log'!$B$3:$B$193,B26))</f>
        <v/>
      </c>
      <c r="D26" s="26" t="str">
        <f aca="false">IF(OR(A26="",B26=""),"",COUNTIFS('Nudge Log'!$A$3:$A$193,A26,'Nudge Log'!$B$3:$B$193,B26,'Nudge Log'!$H$3:$H$193,"Y"))</f>
        <v/>
      </c>
      <c r="E26" s="35" t="str">
        <f aca="false">IF(OR(C26="",C26=0),"",D26/C26)</f>
        <v/>
      </c>
    </row>
    <row r="27" customFormat="false" ht="15" hidden="false" customHeight="false" outlineLevel="0" collapsed="false">
      <c r="A27" s="28"/>
      <c r="B27" s="28"/>
      <c r="C27" s="28" t="str">
        <f aca="false">IF(OR(A27="",B27=""),"",COUNTIFS('Nudge Log'!$A$3:$A$193,A27,'Nudge Log'!$B$3:$B$193,B27))</f>
        <v/>
      </c>
      <c r="D27" s="28" t="str">
        <f aca="false">IF(OR(A27="",B27=""),"",COUNTIFS('Nudge Log'!$A$3:$A$193,A27,'Nudge Log'!$B$3:$B$193,B27,'Nudge Log'!$H$3:$H$193,"Y"))</f>
        <v/>
      </c>
      <c r="E27" s="36" t="str">
        <f aca="false">IF(OR(C27="",C27=0),"",D27/C27)</f>
        <v/>
      </c>
    </row>
    <row r="28" customFormat="false" ht="15" hidden="false" customHeight="false" outlineLevel="0" collapsed="false">
      <c r="A28" s="28"/>
      <c r="B28" s="28"/>
      <c r="C28" s="28" t="str">
        <f aca="false">IF(OR(A28="",B28=""),"",COUNTIFS('Nudge Log'!$A$3:$A$193,A28,'Nudge Log'!$B$3:$B$193,B28))</f>
        <v/>
      </c>
      <c r="D28" s="28" t="str">
        <f aca="false">IF(OR(A28="",B28=""),"",COUNTIFS('Nudge Log'!$A$3:$A$193,A28,'Nudge Log'!$B$3:$B$193,B28,'Nudge Log'!$H$3:$H$193,"Y"))</f>
        <v/>
      </c>
      <c r="E28" s="36" t="str">
        <f aca="false">IF(OR(C28="",C28=0),"",D28/C28)</f>
        <v/>
      </c>
    </row>
    <row r="29" customFormat="false" ht="15" hidden="false" customHeight="false" outlineLevel="0" collapsed="false">
      <c r="A29" s="28"/>
      <c r="B29" s="28"/>
      <c r="C29" s="28" t="str">
        <f aca="false">IF(OR(A29="",B29=""),"",COUNTIFS('Nudge Log'!$A$3:$A$193,A29,'Nudge Log'!$B$3:$B$193,B29))</f>
        <v/>
      </c>
      <c r="D29" s="28" t="str">
        <f aca="false">IF(OR(A29="",B29=""),"",COUNTIFS('Nudge Log'!$A$3:$A$193,A29,'Nudge Log'!$B$3:$B$193,B29,'Nudge Log'!$H$3:$H$193,"Y"))</f>
        <v/>
      </c>
      <c r="E29" s="36" t="str">
        <f aca="false">IF(OR(C29="",C29=0),"",D29/C29)</f>
        <v/>
      </c>
    </row>
    <row r="30" customFormat="false" ht="15" hidden="false" customHeight="false" outlineLevel="0" collapsed="false">
      <c r="A30" s="28"/>
      <c r="B30" s="28"/>
      <c r="C30" s="28" t="str">
        <f aca="false">IF(OR(A30="",B30=""),"",COUNTIFS('Nudge Log'!$A$3:$A$193,A30,'Nudge Log'!$B$3:$B$193,B30))</f>
        <v/>
      </c>
      <c r="D30" s="28" t="str">
        <f aca="false">IF(OR(A30="",B30=""),"",COUNTIFS('Nudge Log'!$A$3:$A$193,A30,'Nudge Log'!$B$3:$B$193,B30,'Nudge Log'!$H$3:$H$193,"Y"))</f>
        <v/>
      </c>
      <c r="E30" s="36" t="str">
        <f aca="false">IF(OR(C30="",C30=0),"",D30/C30)</f>
        <v/>
      </c>
    </row>
    <row r="31" customFormat="false" ht="15" hidden="false" customHeight="false" outlineLevel="0" collapsed="false">
      <c r="A31" s="28"/>
      <c r="B31" s="28"/>
      <c r="C31" s="28" t="str">
        <f aca="false">IF(OR(A31="",B31=""),"",COUNTIFS('Nudge Log'!$A$3:$A$193,A31,'Nudge Log'!$B$3:$B$193,B31))</f>
        <v/>
      </c>
      <c r="D31" s="28" t="str">
        <f aca="false">IF(OR(A31="",B31=""),"",COUNTIFS('Nudge Log'!$A$3:$A$193,A31,'Nudge Log'!$B$3:$B$193,B31,'Nudge Log'!$H$3:$H$193,"Y"))</f>
        <v/>
      </c>
      <c r="E31" s="36" t="str">
        <f aca="false">IF(OR(C31="",C31=0),"",D31/C31)</f>
        <v/>
      </c>
    </row>
    <row r="32" customFormat="false" ht="15" hidden="false" customHeight="false" outlineLevel="0" collapsed="false">
      <c r="A32" s="28"/>
      <c r="B32" s="28"/>
      <c r="C32" s="28" t="str">
        <f aca="false">IF(OR(A32="",B32=""),"",COUNTIFS('Nudge Log'!$A$3:$A$193,A32,'Nudge Log'!$B$3:$B$193,B32))</f>
        <v/>
      </c>
      <c r="D32" s="28" t="str">
        <f aca="false">IF(OR(A32="",B32=""),"",COUNTIFS('Nudge Log'!$A$3:$A$193,A32,'Nudge Log'!$B$3:$B$193,B32,'Nudge Log'!$H$3:$H$193,"Y"))</f>
        <v/>
      </c>
      <c r="E32" s="36" t="str">
        <f aca="false">IF(OR(C32="",C32=0),"",D32/C32)</f>
        <v/>
      </c>
    </row>
    <row r="33" customFormat="false" ht="15" hidden="false" customHeight="false" outlineLevel="0" collapsed="false">
      <c r="A33" s="28"/>
      <c r="B33" s="28"/>
      <c r="C33" s="28" t="str">
        <f aca="false">IF(OR(A33="",B33=""),"",COUNTIFS('Nudge Log'!$A$3:$A$193,A33,'Nudge Log'!$B$3:$B$193,B33))</f>
        <v/>
      </c>
      <c r="D33" s="28" t="str">
        <f aca="false">IF(OR(A33="",B33=""),"",COUNTIFS('Nudge Log'!$A$3:$A$193,A33,'Nudge Log'!$B$3:$B$193,B33,'Nudge Log'!$H$3:$H$193,"Y"))</f>
        <v/>
      </c>
      <c r="E33" s="36" t="str">
        <f aca="false">IF(OR(C33="",C33=0),"",D33/C33)</f>
        <v/>
      </c>
    </row>
    <row r="34" customFormat="false" ht="15" hidden="false" customHeight="false" outlineLevel="0" collapsed="false">
      <c r="A34" s="28"/>
      <c r="B34" s="28"/>
      <c r="C34" s="28" t="str">
        <f aca="false">IF(OR(A34="",B34=""),"",COUNTIFS('Nudge Log'!$A$3:$A$193,A34,'Nudge Log'!$B$3:$B$193,B34))</f>
        <v/>
      </c>
      <c r="D34" s="28" t="str">
        <f aca="false">IF(OR(A34="",B34=""),"",COUNTIFS('Nudge Log'!$A$3:$A$193,A34,'Nudge Log'!$B$3:$B$193,B34,'Nudge Log'!$H$3:$H$193,"Y"))</f>
        <v/>
      </c>
      <c r="E34" s="36" t="str">
        <f aca="false">IF(OR(C34="",C34=0),"",D34/C34)</f>
        <v/>
      </c>
    </row>
    <row r="35" customFormat="false" ht="15" hidden="false" customHeight="false" outlineLevel="0" collapsed="false">
      <c r="A35" s="28"/>
      <c r="B35" s="28"/>
      <c r="C35" s="28" t="str">
        <f aca="false">IF(OR(A35="",B35=""),"",COUNTIFS('Nudge Log'!$A$3:$A$193,A35,'Nudge Log'!$B$3:$B$193,B35))</f>
        <v/>
      </c>
      <c r="D35" s="28" t="str">
        <f aca="false">IF(OR(A35="",B35=""),"",COUNTIFS('Nudge Log'!$A$3:$A$193,A35,'Nudge Log'!$B$3:$B$193,B35,'Nudge Log'!$H$3:$H$193,"Y"))</f>
        <v/>
      </c>
      <c r="E35" s="36" t="str">
        <f aca="false">IF(OR(C35="",C35=0),"",D35/C35)</f>
        <v/>
      </c>
    </row>
    <row r="36" customFormat="false" ht="15" hidden="false" customHeight="false" outlineLevel="0" collapsed="false">
      <c r="A36" s="28"/>
      <c r="B36" s="28"/>
      <c r="C36" s="28" t="str">
        <f aca="false">IF(OR(A36="",B36=""),"",COUNTIFS('Nudge Log'!$A$3:$A$193,A36,'Nudge Log'!$B$3:$B$193,B36))</f>
        <v/>
      </c>
      <c r="D36" s="28" t="str">
        <f aca="false">IF(OR(A36="",B36=""),"",COUNTIFS('Nudge Log'!$A$3:$A$193,A36,'Nudge Log'!$B$3:$B$193,B36,'Nudge Log'!$H$3:$H$193,"Y"))</f>
        <v/>
      </c>
      <c r="E36" s="36" t="str">
        <f aca="false">IF(OR(C36="",C36=0),"",D36/C36)</f>
        <v/>
      </c>
    </row>
    <row r="37" customFormat="false" ht="15" hidden="false" customHeight="false" outlineLevel="0" collapsed="false">
      <c r="A37" s="28"/>
      <c r="B37" s="28"/>
      <c r="C37" s="28" t="str">
        <f aca="false">IF(OR(A37="",B37=""),"",COUNTIFS('Nudge Log'!$A$3:$A$193,A37,'Nudge Log'!$B$3:$B$193,B37))</f>
        <v/>
      </c>
      <c r="D37" s="28" t="str">
        <f aca="false">IF(OR(A37="",B37=""),"",COUNTIFS('Nudge Log'!$A$3:$A$193,A37,'Nudge Log'!$B$3:$B$193,B37,'Nudge Log'!$H$3:$H$193,"Y"))</f>
        <v/>
      </c>
      <c r="E37" s="36" t="str">
        <f aca="false">IF(OR(C37="",C37=0),"",D37/C37)</f>
        <v/>
      </c>
    </row>
    <row r="38" customFormat="false" ht="15" hidden="false" customHeight="false" outlineLevel="0" collapsed="false">
      <c r="A38" s="28"/>
      <c r="B38" s="28"/>
      <c r="C38" s="28" t="str">
        <f aca="false">IF(OR(A38="",B38=""),"",COUNTIFS('Nudge Log'!$A$3:$A$193,A38,'Nudge Log'!$B$3:$B$193,B38))</f>
        <v/>
      </c>
      <c r="D38" s="28" t="str">
        <f aca="false">IF(OR(A38="",B38=""),"",COUNTIFS('Nudge Log'!$A$3:$A$193,A38,'Nudge Log'!$B$3:$B$193,B38,'Nudge Log'!$H$3:$H$193,"Y"))</f>
        <v/>
      </c>
      <c r="E38" s="36" t="str">
        <f aca="false">IF(OR(C38="",C38=0),"",D38/C38)</f>
        <v/>
      </c>
    </row>
    <row r="39" customFormat="false" ht="15" hidden="false" customHeight="false" outlineLevel="0" collapsed="false">
      <c r="A39" s="28"/>
      <c r="B39" s="28"/>
      <c r="C39" s="28" t="str">
        <f aca="false">IF(OR(A39="",B39=""),"",COUNTIFS('Nudge Log'!$A$3:$A$193,A39,'Nudge Log'!$B$3:$B$193,B39))</f>
        <v/>
      </c>
      <c r="D39" s="28" t="str">
        <f aca="false">IF(OR(A39="",B39=""),"",COUNTIFS('Nudge Log'!$A$3:$A$193,A39,'Nudge Log'!$B$3:$B$193,B39,'Nudge Log'!$H$3:$H$193,"Y"))</f>
        <v/>
      </c>
      <c r="E39" s="36" t="str">
        <f aca="false">IF(OR(C39="",C39=0),"",D39/C39)</f>
        <v/>
      </c>
    </row>
    <row r="40" customFormat="false" ht="15" hidden="false" customHeight="false" outlineLevel="0" collapsed="false">
      <c r="A40" s="28"/>
      <c r="B40" s="28"/>
      <c r="C40" s="28" t="str">
        <f aca="false">IF(OR(A40="",B40=""),"",COUNTIFS('Nudge Log'!$A$3:$A$193,A40,'Nudge Log'!$B$3:$B$193,B40))</f>
        <v/>
      </c>
      <c r="D40" s="28" t="str">
        <f aca="false">IF(OR(A40="",B40=""),"",COUNTIFS('Nudge Log'!$A$3:$A$193,A40,'Nudge Log'!$B$3:$B$193,B40,'Nudge Log'!$H$3:$H$193,"Y"))</f>
        <v/>
      </c>
      <c r="E40" s="36" t="str">
        <f aca="false">IF(OR(C40="",C40=0),"",D40/C40)</f>
        <v/>
      </c>
    </row>
    <row r="41" customFormat="false" ht="15" hidden="false" customHeight="false" outlineLevel="0" collapsed="false">
      <c r="A41" s="28"/>
      <c r="B41" s="28"/>
      <c r="C41" s="28" t="str">
        <f aca="false">IF(OR(A41="",B41=""),"",COUNTIFS('Nudge Log'!$A$3:$A$193,A41,'Nudge Log'!$B$3:$B$193,B41))</f>
        <v/>
      </c>
      <c r="D41" s="28" t="str">
        <f aca="false">IF(OR(A41="",B41=""),"",COUNTIFS('Nudge Log'!$A$3:$A$193,A41,'Nudge Log'!$B$3:$B$193,B41,'Nudge Log'!$H$3:$H$193,"Y"))</f>
        <v/>
      </c>
      <c r="E41" s="36" t="str">
        <f aca="false">IF(OR(C41="",C41=0),"",D41/C41)</f>
        <v/>
      </c>
    </row>
  </sheetData>
  <mergeCells count="3">
    <mergeCell ref="G2:I2"/>
    <mergeCell ref="G3:I3"/>
    <mergeCell ref="G4:I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D11" activeCellId="0" sqref="D11"/>
    </sheetView>
  </sheetViews>
  <sheetFormatPr defaultColWidth="8.66796875" defaultRowHeight="15" zeroHeight="false" outlineLevelRow="0" outlineLevelCol="0"/>
  <cols>
    <col collapsed="false" customWidth="true" hidden="false" outlineLevel="0" max="1" min="1" style="0" width="26.33"/>
    <col collapsed="false" customWidth="true" hidden="false" outlineLevel="0" max="2" min="2" style="0" width="23"/>
    <col collapsed="false" customWidth="true" hidden="false" outlineLevel="0" max="3" min="3" style="0" width="38"/>
    <col collapsed="false" customWidth="true" hidden="false" outlineLevel="0" max="4" min="4" style="0" width="39.51"/>
    <col collapsed="false" customWidth="true" hidden="false" outlineLevel="0" max="5" min="5" style="0" width="43.67"/>
    <col collapsed="false" customWidth="true" hidden="false" outlineLevel="0" max="6" min="6" style="0" width="34.66"/>
    <col collapsed="false" customWidth="true" hidden="false" outlineLevel="0" max="7" min="7" style="0" width="16.67"/>
    <col collapsed="false" customWidth="true" hidden="false" outlineLevel="0" max="8" min="8" style="0" width="46.33"/>
  </cols>
  <sheetData>
    <row r="1" customFormat="false" ht="90.75" hidden="false" customHeight="true" outlineLevel="0" collapsed="false">
      <c r="A1" s="29" t="s">
        <v>86</v>
      </c>
      <c r="B1" s="29" t="s">
        <v>147</v>
      </c>
      <c r="C1" s="29" t="s">
        <v>148</v>
      </c>
      <c r="D1" s="29" t="s">
        <v>149</v>
      </c>
      <c r="E1" s="29" t="s">
        <v>150</v>
      </c>
      <c r="F1" s="29" t="s">
        <v>151</v>
      </c>
      <c r="G1" s="29" t="s">
        <v>152</v>
      </c>
      <c r="H1" s="37" t="s">
        <v>142</v>
      </c>
    </row>
    <row r="2" customFormat="false" ht="42.75" hidden="false" customHeight="true" outlineLevel="0" collapsed="false">
      <c r="A2" s="38" t="s">
        <v>94</v>
      </c>
      <c r="B2" s="6" t="s">
        <v>96</v>
      </c>
      <c r="C2" s="6" t="s">
        <v>153</v>
      </c>
      <c r="D2" s="6" t="s">
        <v>154</v>
      </c>
      <c r="E2" s="6" t="s">
        <v>155</v>
      </c>
      <c r="F2" s="14" t="s">
        <v>156</v>
      </c>
      <c r="G2" s="12" t="n">
        <v>5</v>
      </c>
      <c r="H2" s="12"/>
    </row>
    <row r="3" customFormat="false" ht="28.5" hidden="false" customHeight="true" outlineLevel="0" collapsed="false">
      <c r="A3" s="38" t="s">
        <v>97</v>
      </c>
      <c r="B3" s="6" t="s">
        <v>96</v>
      </c>
      <c r="C3" s="6" t="s">
        <v>157</v>
      </c>
      <c r="D3" s="14" t="s">
        <v>158</v>
      </c>
      <c r="E3" s="6" t="s">
        <v>159</v>
      </c>
      <c r="F3" s="6" t="s">
        <v>160</v>
      </c>
      <c r="G3" s="12" t="n">
        <v>4</v>
      </c>
      <c r="H3" s="12"/>
    </row>
    <row r="4" customFormat="false" ht="36.75" hidden="false" customHeight="true" outlineLevel="0" collapsed="false">
      <c r="A4" s="38" t="s">
        <v>100</v>
      </c>
      <c r="B4" s="6" t="s">
        <v>108</v>
      </c>
      <c r="C4" s="6"/>
      <c r="D4" s="6"/>
      <c r="E4" s="6"/>
      <c r="F4" s="6"/>
      <c r="G4" s="12"/>
      <c r="H4" s="12"/>
    </row>
    <row r="5" customFormat="false" ht="42.75" hidden="false" customHeight="true" outlineLevel="0" collapsed="false">
      <c r="A5" s="38" t="s">
        <v>102</v>
      </c>
      <c r="B5" s="6" t="s">
        <v>96</v>
      </c>
      <c r="C5" s="14" t="s">
        <v>161</v>
      </c>
      <c r="D5" s="14" t="s">
        <v>162</v>
      </c>
      <c r="E5" s="14" t="s">
        <v>163</v>
      </c>
      <c r="F5" s="6" t="s">
        <v>164</v>
      </c>
      <c r="G5" s="12" t="n">
        <v>3.5</v>
      </c>
      <c r="H5" s="14" t="s">
        <v>165</v>
      </c>
    </row>
    <row r="6" customFormat="false" ht="91.5" hidden="false" customHeight="true" outlineLevel="0" collapsed="false">
      <c r="A6" s="38" t="s">
        <v>104</v>
      </c>
      <c r="B6" s="6" t="s">
        <v>96</v>
      </c>
      <c r="C6" s="14" t="s">
        <v>166</v>
      </c>
      <c r="D6" s="14" t="s">
        <v>167</v>
      </c>
      <c r="E6" s="14" t="s">
        <v>168</v>
      </c>
      <c r="F6" s="14" t="s">
        <v>169</v>
      </c>
      <c r="G6" s="12" t="n">
        <v>3.5</v>
      </c>
      <c r="H6" s="12"/>
    </row>
    <row r="7" customFormat="false" ht="124.5" hidden="false" customHeight="true" outlineLevel="0" collapsed="false">
      <c r="A7" s="38" t="s">
        <v>106</v>
      </c>
      <c r="B7" s="6" t="s">
        <v>96</v>
      </c>
      <c r="C7" s="14" t="s">
        <v>170</v>
      </c>
      <c r="D7" s="14" t="s">
        <v>171</v>
      </c>
      <c r="E7" s="14" t="s">
        <v>172</v>
      </c>
      <c r="F7" s="14" t="s">
        <v>173</v>
      </c>
      <c r="G7" s="12" t="n">
        <v>5</v>
      </c>
      <c r="H7" s="34" t="s">
        <v>174</v>
      </c>
    </row>
    <row r="8" customFormat="false" ht="15" hidden="false" customHeight="false" outlineLevel="0" collapsed="false">
      <c r="A8" s="26"/>
      <c r="B8" s="26"/>
      <c r="C8" s="26"/>
      <c r="D8" s="26"/>
      <c r="E8" s="26"/>
      <c r="F8" s="26"/>
    </row>
    <row r="9" customFormat="false" ht="15" hidden="false" customHeight="false" outlineLevel="0" collapsed="false">
      <c r="A9" s="28"/>
      <c r="B9" s="28"/>
      <c r="C9" s="28"/>
      <c r="D9" s="28"/>
      <c r="E9" s="28"/>
      <c r="F9" s="28"/>
    </row>
    <row r="10" customFormat="false" ht="15" hidden="false" customHeight="false" outlineLevel="0" collapsed="false">
      <c r="A10" s="28"/>
      <c r="B10" s="28"/>
      <c r="C10" s="28"/>
      <c r="D10" s="28"/>
      <c r="E10" s="28"/>
      <c r="F10" s="28"/>
    </row>
    <row r="11" customFormat="false" ht="15" hidden="false" customHeight="false" outlineLevel="0" collapsed="false">
      <c r="A11" s="28"/>
      <c r="B11" s="28"/>
      <c r="C11" s="28"/>
      <c r="D11" s="28"/>
      <c r="E11" s="28"/>
      <c r="F11" s="28"/>
    </row>
    <row r="12" customFormat="false" ht="15" hidden="false" customHeight="false" outlineLevel="0" collapsed="false">
      <c r="A12" s="28"/>
      <c r="B12" s="28"/>
      <c r="C12" s="28"/>
      <c r="D12" s="28"/>
      <c r="E12" s="28"/>
      <c r="F12" s="28"/>
    </row>
    <row r="13" customFormat="false" ht="15" hidden="false" customHeight="false" outlineLevel="0" collapsed="false">
      <c r="A13" s="28"/>
      <c r="B13" s="28"/>
      <c r="C13" s="28"/>
      <c r="D13" s="28"/>
      <c r="E13" s="28"/>
      <c r="F13" s="28"/>
    </row>
    <row r="14" customFormat="false" ht="15" hidden="false" customHeight="false" outlineLevel="0" collapsed="false">
      <c r="A14" s="28"/>
      <c r="B14" s="28"/>
      <c r="C14" s="28"/>
      <c r="D14" s="28"/>
      <c r="E14" s="28"/>
      <c r="F14" s="28"/>
    </row>
    <row r="15" customFormat="false" ht="15" hidden="false" customHeight="false" outlineLevel="0" collapsed="false">
      <c r="A15" s="28"/>
      <c r="B15" s="28"/>
      <c r="C15" s="28"/>
      <c r="D15" s="28"/>
      <c r="E15" s="28"/>
      <c r="F15" s="28"/>
    </row>
    <row r="16" customFormat="false" ht="15" hidden="false" customHeight="false" outlineLevel="0" collapsed="false">
      <c r="A16" s="28"/>
      <c r="B16" s="28"/>
      <c r="C16" s="28"/>
      <c r="D16" s="28"/>
      <c r="E16" s="28"/>
      <c r="F16" s="28"/>
    </row>
    <row r="17" customFormat="false" ht="15" hidden="false" customHeight="false" outlineLevel="0" collapsed="false">
      <c r="A17" s="28"/>
      <c r="B17" s="28"/>
      <c r="C17" s="28"/>
      <c r="D17" s="28"/>
      <c r="E17" s="28"/>
      <c r="F17" s="28"/>
    </row>
    <row r="18" customFormat="false" ht="15" hidden="false" customHeight="false" outlineLevel="0" collapsed="false">
      <c r="A18" s="28"/>
      <c r="B18" s="28"/>
      <c r="C18" s="28"/>
      <c r="D18" s="28"/>
      <c r="E18" s="28"/>
      <c r="F18" s="28"/>
    </row>
    <row r="19" customFormat="false" ht="15" hidden="false" customHeight="false" outlineLevel="0" collapsed="false">
      <c r="A19" s="28"/>
      <c r="B19" s="28"/>
      <c r="C19" s="28"/>
      <c r="D19" s="28"/>
      <c r="E19" s="28"/>
      <c r="F19" s="28"/>
    </row>
    <row r="20" customFormat="false" ht="15" hidden="false" customHeight="false" outlineLevel="0" collapsed="false">
      <c r="A20" s="28"/>
      <c r="B20" s="28"/>
      <c r="C20" s="28"/>
      <c r="D20" s="28"/>
      <c r="E20" s="28"/>
      <c r="F20" s="28"/>
    </row>
    <row r="21" customFormat="false" ht="15" hidden="false" customHeight="false" outlineLevel="0" collapsed="false">
      <c r="A21" s="28"/>
      <c r="B21" s="28"/>
      <c r="C21" s="28"/>
      <c r="D21" s="28"/>
      <c r="E21" s="28"/>
      <c r="F21" s="28"/>
    </row>
  </sheetData>
  <dataValidations count="2">
    <dataValidation allowBlank="true" errorStyle="stop" operator="between" showDropDown="false" showErrorMessage="false" showInputMessage="false" sqref="B2:B21 E2:E21" type="list">
      <formula1>"Y,N"</formula1>
      <formula2>0</formula2>
    </dataValidation>
    <dataValidation allowBlank="true" errorStyle="stop" operator="between" showDropDown="false" showErrorMessage="false" showInputMessage="false" sqref="F2:F21" type="list">
      <formula1>"1,2,3,4,5"</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12"/>
    <col collapsed="false" customWidth="true" hidden="false" outlineLevel="0" max="3" min="3" style="0" width="11"/>
    <col collapsed="false" customWidth="true" hidden="false" outlineLevel="0" max="4" min="4" style="0" width="42"/>
    <col collapsed="false" customWidth="true" hidden="false" outlineLevel="0" max="5" min="5" style="0" width="11"/>
    <col collapsed="false" customWidth="true" hidden="false" outlineLevel="0" max="6" min="6" style="0" width="34"/>
    <col collapsed="false" customWidth="true" hidden="false" outlineLevel="0" max="7" min="7" style="0" width="20"/>
    <col collapsed="false" customWidth="true" hidden="false" outlineLevel="0" max="8" min="8" style="0" width="42"/>
    <col collapsed="false" customWidth="true" hidden="false" outlineLevel="0" max="10" min="10" style="0" width="60"/>
  </cols>
  <sheetData>
    <row r="1" customFormat="false" ht="30" hidden="false" customHeight="true" outlineLevel="0" collapsed="false">
      <c r="A1" s="39" t="s">
        <v>85</v>
      </c>
      <c r="B1" s="39" t="s">
        <v>86</v>
      </c>
      <c r="C1" s="39" t="s">
        <v>175</v>
      </c>
      <c r="D1" s="39" t="s">
        <v>176</v>
      </c>
      <c r="E1" s="39" t="s">
        <v>177</v>
      </c>
      <c r="F1" s="39" t="s">
        <v>178</v>
      </c>
      <c r="G1" s="39" t="s">
        <v>179</v>
      </c>
      <c r="H1" s="39" t="s">
        <v>180</v>
      </c>
      <c r="J1" s="40" t="s">
        <v>181</v>
      </c>
    </row>
    <row r="2" customFormat="false" ht="22.35" hidden="false" customHeight="true" outlineLevel="0" collapsed="false">
      <c r="A2" s="41" t="s">
        <v>182</v>
      </c>
      <c r="B2" s="41" t="s">
        <v>94</v>
      </c>
      <c r="C2" s="42" t="s">
        <v>183</v>
      </c>
      <c r="D2" s="42" t="s">
        <v>184</v>
      </c>
      <c r="E2" s="42" t="s">
        <v>183</v>
      </c>
      <c r="F2" s="42" t="s">
        <v>185</v>
      </c>
      <c r="G2" s="43" t="s">
        <v>96</v>
      </c>
      <c r="H2" s="42"/>
      <c r="J2" s="44" t="s">
        <v>186</v>
      </c>
      <c r="K2" s="44"/>
      <c r="L2" s="44"/>
    </row>
    <row r="3" customFormat="false" ht="23.85" hidden="false" customHeight="true" outlineLevel="0" collapsed="false">
      <c r="A3" s="41" t="s">
        <v>182</v>
      </c>
      <c r="B3" s="41" t="s">
        <v>94</v>
      </c>
      <c r="C3" s="42" t="s">
        <v>187</v>
      </c>
      <c r="D3" s="42" t="s">
        <v>188</v>
      </c>
      <c r="E3" s="42" t="s">
        <v>189</v>
      </c>
      <c r="F3" s="42" t="s">
        <v>189</v>
      </c>
      <c r="G3" s="45" t="s">
        <v>190</v>
      </c>
      <c r="H3" s="42" t="s">
        <v>191</v>
      </c>
      <c r="J3" s="44" t="s">
        <v>192</v>
      </c>
      <c r="K3" s="44"/>
      <c r="L3" s="44"/>
    </row>
    <row r="4" customFormat="false" ht="32.8" hidden="false" customHeight="true" outlineLevel="0" collapsed="false">
      <c r="A4" s="41" t="s">
        <v>182</v>
      </c>
      <c r="B4" s="41" t="s">
        <v>94</v>
      </c>
      <c r="C4" s="42" t="s">
        <v>193</v>
      </c>
      <c r="D4" s="42" t="s">
        <v>194</v>
      </c>
      <c r="E4" s="42" t="s">
        <v>189</v>
      </c>
      <c r="F4" s="42" t="s">
        <v>189</v>
      </c>
      <c r="G4" s="45" t="s">
        <v>190</v>
      </c>
      <c r="H4" s="42" t="s">
        <v>195</v>
      </c>
      <c r="J4" s="44" t="s">
        <v>196</v>
      </c>
      <c r="K4" s="44"/>
      <c r="L4" s="44"/>
    </row>
    <row r="5" customFormat="false" ht="32.8" hidden="false" customHeight="true" outlineLevel="0" collapsed="false">
      <c r="A5" s="41" t="s">
        <v>182</v>
      </c>
      <c r="B5" s="41" t="s">
        <v>94</v>
      </c>
      <c r="C5" s="42" t="s">
        <v>197</v>
      </c>
      <c r="D5" s="42" t="s">
        <v>198</v>
      </c>
      <c r="E5" s="42" t="s">
        <v>189</v>
      </c>
      <c r="F5" s="42" t="s">
        <v>189</v>
      </c>
      <c r="G5" s="45" t="s">
        <v>190</v>
      </c>
      <c r="H5" s="42" t="s">
        <v>195</v>
      </c>
      <c r="J5" s="44" t="s">
        <v>199</v>
      </c>
      <c r="K5" s="44"/>
      <c r="L5" s="44"/>
    </row>
    <row r="6" customFormat="false" ht="15" hidden="false" customHeight="false" outlineLevel="0" collapsed="false">
      <c r="A6" s="41" t="s">
        <v>182</v>
      </c>
      <c r="B6" s="41" t="s">
        <v>94</v>
      </c>
      <c r="C6" s="42" t="s">
        <v>200</v>
      </c>
      <c r="D6" s="42" t="s">
        <v>201</v>
      </c>
      <c r="E6" s="42" t="s">
        <v>189</v>
      </c>
      <c r="F6" s="42" t="s">
        <v>189</v>
      </c>
      <c r="G6" s="45" t="s">
        <v>190</v>
      </c>
      <c r="H6" s="42" t="s">
        <v>195</v>
      </c>
    </row>
    <row r="7" customFormat="false" ht="23.85" hidden="false" customHeight="false" outlineLevel="0" collapsed="false">
      <c r="A7" s="41" t="s">
        <v>182</v>
      </c>
      <c r="B7" s="41" t="s">
        <v>94</v>
      </c>
      <c r="C7" s="42" t="s">
        <v>202</v>
      </c>
      <c r="D7" s="42" t="s">
        <v>203</v>
      </c>
      <c r="E7" s="42" t="s">
        <v>204</v>
      </c>
      <c r="F7" s="42" t="s">
        <v>205</v>
      </c>
      <c r="G7" s="45" t="s">
        <v>190</v>
      </c>
      <c r="H7" s="42" t="s">
        <v>206</v>
      </c>
    </row>
    <row r="8" customFormat="false" ht="23.85" hidden="false" customHeight="false" outlineLevel="0" collapsed="false">
      <c r="A8" s="41" t="s">
        <v>207</v>
      </c>
      <c r="B8" s="41" t="s">
        <v>94</v>
      </c>
      <c r="C8" s="42" t="s">
        <v>208</v>
      </c>
      <c r="D8" s="42" t="s">
        <v>209</v>
      </c>
      <c r="E8" s="42" t="s">
        <v>189</v>
      </c>
      <c r="F8" s="42" t="s">
        <v>189</v>
      </c>
      <c r="G8" s="45" t="s">
        <v>190</v>
      </c>
      <c r="H8" s="42" t="s">
        <v>210</v>
      </c>
    </row>
    <row r="9" customFormat="false" ht="23.85" hidden="false" customHeight="false" outlineLevel="0" collapsed="false">
      <c r="A9" s="41" t="s">
        <v>207</v>
      </c>
      <c r="B9" s="41" t="s">
        <v>94</v>
      </c>
      <c r="C9" s="42" t="s">
        <v>211</v>
      </c>
      <c r="D9" s="42" t="s">
        <v>212</v>
      </c>
      <c r="E9" s="42" t="s">
        <v>189</v>
      </c>
      <c r="F9" s="42" t="s">
        <v>189</v>
      </c>
      <c r="G9" s="45" t="s">
        <v>190</v>
      </c>
      <c r="H9" s="42" t="s">
        <v>213</v>
      </c>
    </row>
    <row r="10" customFormat="false" ht="15" hidden="false" customHeight="false" outlineLevel="0" collapsed="false">
      <c r="A10" s="41" t="s">
        <v>207</v>
      </c>
      <c r="B10" s="41" t="s">
        <v>94</v>
      </c>
      <c r="C10" s="42" t="s">
        <v>214</v>
      </c>
      <c r="D10" s="42" t="s">
        <v>215</v>
      </c>
      <c r="E10" s="42" t="s">
        <v>189</v>
      </c>
      <c r="F10" s="42" t="s">
        <v>189</v>
      </c>
      <c r="G10" s="45" t="s">
        <v>190</v>
      </c>
      <c r="H10" s="42" t="s">
        <v>213</v>
      </c>
    </row>
    <row r="11" customFormat="false" ht="23.85" hidden="false" customHeight="false" outlineLevel="0" collapsed="false">
      <c r="A11" s="41" t="s">
        <v>207</v>
      </c>
      <c r="B11" s="41" t="s">
        <v>94</v>
      </c>
      <c r="C11" s="42" t="s">
        <v>216</v>
      </c>
      <c r="D11" s="42" t="s">
        <v>217</v>
      </c>
      <c r="E11" s="42" t="s">
        <v>189</v>
      </c>
      <c r="F11" s="42" t="s">
        <v>189</v>
      </c>
      <c r="G11" s="45" t="s">
        <v>190</v>
      </c>
      <c r="H11" s="42" t="s">
        <v>213</v>
      </c>
    </row>
    <row r="12" customFormat="false" ht="15" hidden="false" customHeight="false" outlineLevel="0" collapsed="false">
      <c r="A12" s="41" t="s">
        <v>207</v>
      </c>
      <c r="B12" s="41" t="s">
        <v>94</v>
      </c>
      <c r="C12" s="42" t="s">
        <v>200</v>
      </c>
      <c r="D12" s="42" t="s">
        <v>218</v>
      </c>
      <c r="E12" s="42" t="s">
        <v>189</v>
      </c>
      <c r="F12" s="42" t="s">
        <v>189</v>
      </c>
      <c r="G12" s="45" t="s">
        <v>190</v>
      </c>
      <c r="H12" s="42" t="s">
        <v>213</v>
      </c>
    </row>
    <row r="13" customFormat="false" ht="23.85" hidden="false" customHeight="false" outlineLevel="0" collapsed="false">
      <c r="A13" s="41" t="s">
        <v>207</v>
      </c>
      <c r="B13" s="41" t="s">
        <v>94</v>
      </c>
      <c r="C13" s="42" t="s">
        <v>219</v>
      </c>
      <c r="D13" s="42" t="s">
        <v>220</v>
      </c>
      <c r="E13" s="42" t="s">
        <v>189</v>
      </c>
      <c r="F13" s="42" t="s">
        <v>205</v>
      </c>
      <c r="G13" s="45" t="s">
        <v>190</v>
      </c>
      <c r="H13" s="42" t="s">
        <v>221</v>
      </c>
    </row>
    <row r="14" customFormat="false" ht="23.85" hidden="false" customHeight="false" outlineLevel="0" collapsed="false">
      <c r="A14" s="41" t="s">
        <v>222</v>
      </c>
      <c r="B14" s="41" t="s">
        <v>94</v>
      </c>
      <c r="C14" s="42" t="s">
        <v>223</v>
      </c>
      <c r="D14" s="42" t="s">
        <v>224</v>
      </c>
      <c r="E14" s="42" t="s">
        <v>189</v>
      </c>
      <c r="F14" s="42" t="s">
        <v>189</v>
      </c>
      <c r="G14" s="46" t="s">
        <v>108</v>
      </c>
      <c r="H14" s="42" t="s">
        <v>225</v>
      </c>
    </row>
    <row r="15" customFormat="false" ht="15" hidden="false" customHeight="false" outlineLevel="0" collapsed="false">
      <c r="A15" s="41" t="s">
        <v>222</v>
      </c>
      <c r="B15" s="41" t="s">
        <v>94</v>
      </c>
      <c r="C15" s="42" t="s">
        <v>226</v>
      </c>
      <c r="D15" s="42" t="s">
        <v>227</v>
      </c>
      <c r="E15" s="42" t="s">
        <v>189</v>
      </c>
      <c r="F15" s="42" t="s">
        <v>189</v>
      </c>
      <c r="G15" s="46" t="s">
        <v>108</v>
      </c>
      <c r="H15" s="42" t="s">
        <v>228</v>
      </c>
    </row>
    <row r="16" customFormat="false" ht="15" hidden="false" customHeight="false" outlineLevel="0" collapsed="false">
      <c r="A16" s="41" t="s">
        <v>222</v>
      </c>
      <c r="B16" s="41" t="s">
        <v>94</v>
      </c>
      <c r="C16" s="42" t="s">
        <v>229</v>
      </c>
      <c r="D16" s="42" t="s">
        <v>230</v>
      </c>
      <c r="E16" s="42" t="s">
        <v>189</v>
      </c>
      <c r="F16" s="42" t="s">
        <v>189</v>
      </c>
      <c r="G16" s="46" t="s">
        <v>108</v>
      </c>
      <c r="H16" s="42" t="s">
        <v>228</v>
      </c>
    </row>
    <row r="17" customFormat="false" ht="15" hidden="false" customHeight="false" outlineLevel="0" collapsed="false">
      <c r="A17" s="41" t="s">
        <v>222</v>
      </c>
      <c r="B17" s="41" t="s">
        <v>94</v>
      </c>
      <c r="C17" s="42" t="s">
        <v>231</v>
      </c>
      <c r="D17" s="42" t="s">
        <v>232</v>
      </c>
      <c r="E17" s="42" t="s">
        <v>189</v>
      </c>
      <c r="F17" s="42" t="s">
        <v>189</v>
      </c>
      <c r="G17" s="46" t="s">
        <v>108</v>
      </c>
      <c r="H17" s="42" t="s">
        <v>228</v>
      </c>
    </row>
    <row r="18" customFormat="false" ht="15" hidden="false" customHeight="false" outlineLevel="0" collapsed="false">
      <c r="A18" s="41" t="s">
        <v>222</v>
      </c>
      <c r="B18" s="41" t="s">
        <v>94</v>
      </c>
      <c r="C18" s="42" t="s">
        <v>233</v>
      </c>
      <c r="D18" s="42" t="s">
        <v>234</v>
      </c>
      <c r="E18" s="42" t="s">
        <v>189</v>
      </c>
      <c r="F18" s="42" t="s">
        <v>189</v>
      </c>
      <c r="G18" s="46" t="s">
        <v>108</v>
      </c>
      <c r="H18" s="42" t="s">
        <v>228</v>
      </c>
    </row>
    <row r="19" customFormat="false" ht="23.85" hidden="false" customHeight="false" outlineLevel="0" collapsed="false">
      <c r="A19" s="41" t="s">
        <v>222</v>
      </c>
      <c r="B19" s="41" t="s">
        <v>94</v>
      </c>
      <c r="C19" s="42" t="s">
        <v>235</v>
      </c>
      <c r="D19" s="42" t="s">
        <v>236</v>
      </c>
      <c r="E19" s="42" t="s">
        <v>189</v>
      </c>
      <c r="F19" s="42" t="s">
        <v>189</v>
      </c>
      <c r="G19" s="46" t="s">
        <v>108</v>
      </c>
      <c r="H19" s="42" t="s">
        <v>237</v>
      </c>
    </row>
    <row r="20" customFormat="false" ht="23.85" hidden="false" customHeight="false" outlineLevel="0" collapsed="false">
      <c r="A20" s="41" t="s">
        <v>238</v>
      </c>
      <c r="B20" s="41" t="s">
        <v>94</v>
      </c>
      <c r="C20" s="42" t="s">
        <v>239</v>
      </c>
      <c r="D20" s="42" t="s">
        <v>227</v>
      </c>
      <c r="E20" s="42" t="s">
        <v>189</v>
      </c>
      <c r="F20" s="42" t="s">
        <v>189</v>
      </c>
      <c r="G20" s="46" t="s">
        <v>108</v>
      </c>
      <c r="H20" s="42" t="s">
        <v>240</v>
      </c>
    </row>
    <row r="21" customFormat="false" ht="15" hidden="false" customHeight="false" outlineLevel="0" collapsed="false">
      <c r="A21" s="41" t="s">
        <v>238</v>
      </c>
      <c r="B21" s="41" t="s">
        <v>94</v>
      </c>
      <c r="C21" s="42" t="s">
        <v>241</v>
      </c>
      <c r="D21" s="42" t="s">
        <v>242</v>
      </c>
      <c r="E21" s="42" t="s">
        <v>189</v>
      </c>
      <c r="F21" s="42" t="s">
        <v>189</v>
      </c>
      <c r="G21" s="46" t="s">
        <v>108</v>
      </c>
      <c r="H21" s="42"/>
    </row>
    <row r="22" customFormat="false" ht="15" hidden="false" customHeight="false" outlineLevel="0" collapsed="false">
      <c r="A22" s="41" t="s">
        <v>238</v>
      </c>
      <c r="B22" s="41" t="s">
        <v>94</v>
      </c>
      <c r="C22" s="42" t="s">
        <v>243</v>
      </c>
      <c r="D22" s="42" t="s">
        <v>232</v>
      </c>
      <c r="E22" s="42" t="s">
        <v>189</v>
      </c>
      <c r="F22" s="42" t="s">
        <v>189</v>
      </c>
      <c r="G22" s="46" t="s">
        <v>108</v>
      </c>
      <c r="H22" s="42"/>
    </row>
    <row r="23" customFormat="false" ht="15" hidden="false" customHeight="false" outlineLevel="0" collapsed="false">
      <c r="A23" s="41" t="s">
        <v>238</v>
      </c>
      <c r="B23" s="41" t="s">
        <v>94</v>
      </c>
      <c r="C23" s="42" t="s">
        <v>244</v>
      </c>
      <c r="D23" s="42" t="s">
        <v>245</v>
      </c>
      <c r="E23" s="42" t="s">
        <v>189</v>
      </c>
      <c r="F23" s="42" t="s">
        <v>189</v>
      </c>
      <c r="G23" s="46" t="s">
        <v>108</v>
      </c>
      <c r="H23" s="42"/>
    </row>
    <row r="24" customFormat="false" ht="23.85" hidden="false" customHeight="false" outlineLevel="0" collapsed="false">
      <c r="A24" s="41" t="s">
        <v>238</v>
      </c>
      <c r="B24" s="41" t="s">
        <v>94</v>
      </c>
      <c r="C24" s="42" t="s">
        <v>246</v>
      </c>
      <c r="D24" s="42" t="s">
        <v>247</v>
      </c>
      <c r="E24" s="42" t="s">
        <v>189</v>
      </c>
      <c r="F24" s="42" t="s">
        <v>189</v>
      </c>
      <c r="G24" s="46" t="s">
        <v>108</v>
      </c>
      <c r="H24" s="42" t="s">
        <v>248</v>
      </c>
    </row>
    <row r="25" customFormat="false" ht="15" hidden="false" customHeight="false" outlineLevel="0" collapsed="false">
      <c r="A25" s="42" t="s">
        <v>182</v>
      </c>
      <c r="B25" s="42" t="s">
        <v>106</v>
      </c>
      <c r="C25" s="42" t="s">
        <v>249</v>
      </c>
      <c r="D25" s="42" t="s">
        <v>250</v>
      </c>
      <c r="E25" s="42" t="s">
        <v>249</v>
      </c>
      <c r="F25" s="42" t="s">
        <v>251</v>
      </c>
      <c r="G25" s="46" t="s">
        <v>108</v>
      </c>
      <c r="H25" s="42" t="s">
        <v>252</v>
      </c>
    </row>
    <row r="26" customFormat="false" ht="23.85" hidden="false" customHeight="false" outlineLevel="0" collapsed="false">
      <c r="A26" s="42" t="s">
        <v>182</v>
      </c>
      <c r="B26" s="42" t="s">
        <v>106</v>
      </c>
      <c r="C26" s="42" t="s">
        <v>253</v>
      </c>
      <c r="D26" s="42" t="s">
        <v>254</v>
      </c>
      <c r="E26" s="42" t="s">
        <v>255</v>
      </c>
      <c r="F26" s="42" t="s">
        <v>256</v>
      </c>
      <c r="G26" s="46" t="s">
        <v>108</v>
      </c>
      <c r="H26" s="42" t="s">
        <v>257</v>
      </c>
    </row>
    <row r="27" customFormat="false" ht="23.85" hidden="false" customHeight="false" outlineLevel="0" collapsed="false">
      <c r="A27" s="42" t="s">
        <v>182</v>
      </c>
      <c r="B27" s="42" t="s">
        <v>106</v>
      </c>
      <c r="C27" s="42" t="s">
        <v>258</v>
      </c>
      <c r="D27" s="42" t="s">
        <v>259</v>
      </c>
      <c r="E27" s="42" t="s">
        <v>260</v>
      </c>
      <c r="F27" s="42" t="s">
        <v>261</v>
      </c>
      <c r="G27" s="43" t="s">
        <v>96</v>
      </c>
      <c r="H27" s="42" t="s">
        <v>262</v>
      </c>
    </row>
    <row r="28" customFormat="false" ht="15" hidden="false" customHeight="false" outlineLevel="0" collapsed="false">
      <c r="A28" s="42" t="s">
        <v>182</v>
      </c>
      <c r="B28" s="42" t="s">
        <v>106</v>
      </c>
      <c r="C28" s="42" t="s">
        <v>263</v>
      </c>
      <c r="D28" s="42" t="s">
        <v>264</v>
      </c>
      <c r="E28" s="42" t="s">
        <v>265</v>
      </c>
      <c r="F28" s="42" t="s">
        <v>266</v>
      </c>
      <c r="G28" s="43" t="s">
        <v>96</v>
      </c>
      <c r="H28" s="42"/>
    </row>
    <row r="29" customFormat="false" ht="23.85" hidden="false" customHeight="false" outlineLevel="0" collapsed="false">
      <c r="A29" s="42" t="s">
        <v>182</v>
      </c>
      <c r="B29" s="42" t="s">
        <v>106</v>
      </c>
      <c r="C29" s="42" t="s">
        <v>267</v>
      </c>
      <c r="D29" s="42" t="s">
        <v>268</v>
      </c>
      <c r="E29" s="42" t="s">
        <v>269</v>
      </c>
      <c r="F29" s="42" t="s">
        <v>266</v>
      </c>
      <c r="G29" s="43" t="s">
        <v>96</v>
      </c>
      <c r="H29" s="42"/>
    </row>
    <row r="30" customFormat="false" ht="15" hidden="false" customHeight="false" outlineLevel="0" collapsed="false">
      <c r="A30" s="42" t="s">
        <v>182</v>
      </c>
      <c r="B30" s="42" t="s">
        <v>106</v>
      </c>
      <c r="C30" s="42" t="s">
        <v>270</v>
      </c>
      <c r="D30" s="42" t="s">
        <v>203</v>
      </c>
      <c r="E30" s="42" t="s">
        <v>189</v>
      </c>
      <c r="F30" s="42" t="s">
        <v>189</v>
      </c>
      <c r="G30" s="46" t="s">
        <v>108</v>
      </c>
      <c r="H30" s="42" t="s">
        <v>271</v>
      </c>
    </row>
    <row r="31" customFormat="false" ht="23.85" hidden="false" customHeight="false" outlineLevel="0" collapsed="false">
      <c r="A31" s="42" t="s">
        <v>207</v>
      </c>
      <c r="B31" s="42" t="s">
        <v>106</v>
      </c>
      <c r="C31" s="42" t="s">
        <v>272</v>
      </c>
      <c r="D31" s="42" t="s">
        <v>273</v>
      </c>
      <c r="E31" s="42" t="s">
        <v>274</v>
      </c>
      <c r="F31" s="42" t="s">
        <v>266</v>
      </c>
      <c r="G31" s="43" t="s">
        <v>96</v>
      </c>
      <c r="H31" s="42" t="s">
        <v>275</v>
      </c>
    </row>
    <row r="32" customFormat="false" ht="15" hidden="false" customHeight="false" outlineLevel="0" collapsed="false">
      <c r="A32" s="42" t="s">
        <v>207</v>
      </c>
      <c r="B32" s="42" t="s">
        <v>106</v>
      </c>
      <c r="C32" s="42" t="s">
        <v>276</v>
      </c>
      <c r="D32" s="42" t="s">
        <v>277</v>
      </c>
      <c r="E32" s="42" t="s">
        <v>278</v>
      </c>
      <c r="F32" s="42" t="s">
        <v>279</v>
      </c>
      <c r="G32" s="43" t="s">
        <v>96</v>
      </c>
      <c r="H32" s="42"/>
    </row>
    <row r="33" customFormat="false" ht="23.85" hidden="false" customHeight="false" outlineLevel="0" collapsed="false">
      <c r="A33" s="42" t="s">
        <v>207</v>
      </c>
      <c r="B33" s="42" t="s">
        <v>106</v>
      </c>
      <c r="C33" s="42" t="s">
        <v>280</v>
      </c>
      <c r="D33" s="42" t="s">
        <v>281</v>
      </c>
      <c r="E33" s="42" t="s">
        <v>282</v>
      </c>
      <c r="F33" s="42" t="s">
        <v>266</v>
      </c>
      <c r="G33" s="43" t="s">
        <v>96</v>
      </c>
      <c r="H33" s="42"/>
    </row>
    <row r="34" customFormat="false" ht="15" hidden="false" customHeight="false" outlineLevel="0" collapsed="false">
      <c r="A34" s="42" t="s">
        <v>207</v>
      </c>
      <c r="B34" s="42" t="s">
        <v>106</v>
      </c>
      <c r="C34" s="42" t="s">
        <v>283</v>
      </c>
      <c r="D34" s="42" t="s">
        <v>284</v>
      </c>
      <c r="E34" s="42" t="s">
        <v>189</v>
      </c>
      <c r="F34" s="42" t="s">
        <v>189</v>
      </c>
      <c r="G34" s="46" t="s">
        <v>108</v>
      </c>
      <c r="H34" s="42" t="s">
        <v>271</v>
      </c>
    </row>
    <row r="35" customFormat="false" ht="23.85" hidden="false" customHeight="false" outlineLevel="0" collapsed="false">
      <c r="A35" s="42" t="s">
        <v>207</v>
      </c>
      <c r="B35" s="42" t="s">
        <v>106</v>
      </c>
      <c r="C35" s="42" t="s">
        <v>285</v>
      </c>
      <c r="D35" s="42" t="s">
        <v>286</v>
      </c>
      <c r="E35" s="42" t="s">
        <v>287</v>
      </c>
      <c r="F35" s="42" t="s">
        <v>266</v>
      </c>
      <c r="G35" s="43" t="s">
        <v>96</v>
      </c>
      <c r="H35" s="42"/>
    </row>
    <row r="36" customFormat="false" ht="23.85" hidden="false" customHeight="false" outlineLevel="0" collapsed="false">
      <c r="A36" s="42" t="s">
        <v>222</v>
      </c>
      <c r="B36" s="42" t="s">
        <v>106</v>
      </c>
      <c r="C36" s="42" t="s">
        <v>288</v>
      </c>
      <c r="D36" s="42" t="s">
        <v>289</v>
      </c>
      <c r="E36" s="42" t="s">
        <v>189</v>
      </c>
      <c r="F36" s="42" t="s">
        <v>189</v>
      </c>
      <c r="G36" s="46" t="s">
        <v>108</v>
      </c>
      <c r="H36" s="42" t="s">
        <v>290</v>
      </c>
    </row>
    <row r="37" customFormat="false" ht="15" hidden="false" customHeight="false" outlineLevel="0" collapsed="false">
      <c r="A37" s="42" t="s">
        <v>222</v>
      </c>
      <c r="B37" s="42" t="s">
        <v>106</v>
      </c>
      <c r="C37" s="42" t="s">
        <v>291</v>
      </c>
      <c r="D37" s="42" t="s">
        <v>292</v>
      </c>
      <c r="E37" s="42" t="s">
        <v>189</v>
      </c>
      <c r="F37" s="42" t="s">
        <v>189</v>
      </c>
      <c r="G37" s="46" t="s">
        <v>108</v>
      </c>
      <c r="H37" s="42" t="s">
        <v>228</v>
      </c>
    </row>
    <row r="38" customFormat="false" ht="15" hidden="false" customHeight="false" outlineLevel="0" collapsed="false">
      <c r="A38" s="42" t="s">
        <v>222</v>
      </c>
      <c r="B38" s="42" t="s">
        <v>106</v>
      </c>
      <c r="C38" s="42" t="s">
        <v>293</v>
      </c>
      <c r="D38" s="42" t="s">
        <v>264</v>
      </c>
      <c r="E38" s="42" t="s">
        <v>189</v>
      </c>
      <c r="F38" s="42" t="s">
        <v>189</v>
      </c>
      <c r="G38" s="46" t="s">
        <v>108</v>
      </c>
      <c r="H38" s="42" t="s">
        <v>228</v>
      </c>
    </row>
    <row r="39" customFormat="false" ht="15" hidden="false" customHeight="false" outlineLevel="0" collapsed="false">
      <c r="A39" s="42" t="s">
        <v>222</v>
      </c>
      <c r="B39" s="42" t="s">
        <v>106</v>
      </c>
      <c r="C39" s="42" t="s">
        <v>294</v>
      </c>
      <c r="D39" s="42" t="s">
        <v>295</v>
      </c>
      <c r="E39" s="42" t="s">
        <v>189</v>
      </c>
      <c r="F39" s="42" t="s">
        <v>189</v>
      </c>
      <c r="G39" s="46" t="s">
        <v>108</v>
      </c>
      <c r="H39" s="42" t="s">
        <v>228</v>
      </c>
    </row>
    <row r="40" customFormat="false" ht="23.85" hidden="false" customHeight="false" outlineLevel="0" collapsed="false">
      <c r="A40" s="42" t="s">
        <v>222</v>
      </c>
      <c r="B40" s="42" t="s">
        <v>106</v>
      </c>
      <c r="C40" s="42" t="s">
        <v>296</v>
      </c>
      <c r="D40" s="42" t="s">
        <v>297</v>
      </c>
      <c r="E40" s="42" t="s">
        <v>189</v>
      </c>
      <c r="F40" s="42" t="s">
        <v>189</v>
      </c>
      <c r="G40" s="46" t="s">
        <v>108</v>
      </c>
      <c r="H40" s="42" t="s">
        <v>228</v>
      </c>
    </row>
    <row r="41" customFormat="false" ht="23.85" hidden="false" customHeight="false" outlineLevel="0" collapsed="false">
      <c r="A41" s="42" t="s">
        <v>222</v>
      </c>
      <c r="B41" s="42" t="s">
        <v>106</v>
      </c>
      <c r="C41" s="42" t="s">
        <v>298</v>
      </c>
      <c r="D41" s="42" t="s">
        <v>299</v>
      </c>
      <c r="E41" s="42" t="s">
        <v>300</v>
      </c>
      <c r="F41" s="42" t="s">
        <v>301</v>
      </c>
      <c r="G41" s="46" t="s">
        <v>108</v>
      </c>
      <c r="H41" s="42" t="s">
        <v>302</v>
      </c>
    </row>
    <row r="42" customFormat="false" ht="15" hidden="false" customHeight="false" outlineLevel="0" collapsed="false">
      <c r="A42" s="42" t="s">
        <v>238</v>
      </c>
      <c r="B42" s="42" t="s">
        <v>106</v>
      </c>
      <c r="C42" s="42" t="s">
        <v>303</v>
      </c>
      <c r="D42" s="42" t="s">
        <v>304</v>
      </c>
      <c r="E42" s="42" t="s">
        <v>305</v>
      </c>
      <c r="F42" s="42" t="s">
        <v>266</v>
      </c>
      <c r="G42" s="43" t="s">
        <v>96</v>
      </c>
      <c r="H42" s="42"/>
    </row>
    <row r="43" customFormat="false" ht="15" hidden="false" customHeight="false" outlineLevel="0" collapsed="false">
      <c r="A43" s="42" t="s">
        <v>238</v>
      </c>
      <c r="B43" s="42" t="s">
        <v>106</v>
      </c>
      <c r="C43" s="42" t="s">
        <v>306</v>
      </c>
      <c r="D43" s="42" t="s">
        <v>307</v>
      </c>
      <c r="E43" s="42" t="s">
        <v>189</v>
      </c>
      <c r="F43" s="42" t="s">
        <v>189</v>
      </c>
      <c r="G43" s="46" t="s">
        <v>108</v>
      </c>
      <c r="H43" s="42" t="s">
        <v>308</v>
      </c>
    </row>
    <row r="44" customFormat="false" ht="15" hidden="false" customHeight="false" outlineLevel="0" collapsed="false">
      <c r="A44" s="42" t="s">
        <v>238</v>
      </c>
      <c r="B44" s="42" t="s">
        <v>106</v>
      </c>
      <c r="C44" s="42" t="s">
        <v>309</v>
      </c>
      <c r="D44" s="42" t="s">
        <v>310</v>
      </c>
      <c r="E44" s="42" t="s">
        <v>311</v>
      </c>
      <c r="F44" s="42" t="s">
        <v>312</v>
      </c>
      <c r="G44" s="43" t="s">
        <v>96</v>
      </c>
      <c r="H44" s="42"/>
    </row>
    <row r="45" customFormat="false" ht="15" hidden="false" customHeight="false" outlineLevel="0" collapsed="false">
      <c r="A45" s="42" t="s">
        <v>238</v>
      </c>
      <c r="B45" s="42" t="s">
        <v>106</v>
      </c>
      <c r="C45" s="42" t="s">
        <v>313</v>
      </c>
      <c r="D45" s="42" t="s">
        <v>295</v>
      </c>
      <c r="E45" s="42" t="s">
        <v>314</v>
      </c>
      <c r="F45" s="42" t="s">
        <v>266</v>
      </c>
      <c r="G45" s="43" t="s">
        <v>96</v>
      </c>
      <c r="H45" s="42"/>
    </row>
    <row r="46" customFormat="false" ht="15" hidden="false" customHeight="false" outlineLevel="0" collapsed="false">
      <c r="A46" s="42" t="s">
        <v>238</v>
      </c>
      <c r="B46" s="42" t="s">
        <v>106</v>
      </c>
      <c r="C46" s="42" t="s">
        <v>315</v>
      </c>
      <c r="D46" s="42" t="s">
        <v>316</v>
      </c>
      <c r="E46" s="42" t="s">
        <v>189</v>
      </c>
      <c r="F46" s="42" t="s">
        <v>189</v>
      </c>
      <c r="G46" s="46" t="s">
        <v>108</v>
      </c>
      <c r="H46" s="42" t="s">
        <v>308</v>
      </c>
    </row>
    <row r="47" customFormat="false" ht="23.85" hidden="false" customHeight="false" outlineLevel="0" collapsed="false">
      <c r="A47" s="42" t="s">
        <v>238</v>
      </c>
      <c r="B47" s="42" t="s">
        <v>106</v>
      </c>
      <c r="C47" s="42" t="s">
        <v>317</v>
      </c>
      <c r="D47" s="42" t="s">
        <v>318</v>
      </c>
      <c r="E47" s="42" t="s">
        <v>319</v>
      </c>
      <c r="F47" s="42" t="s">
        <v>320</v>
      </c>
      <c r="G47" s="46" t="s">
        <v>108</v>
      </c>
      <c r="H47" s="42" t="s">
        <v>321</v>
      </c>
    </row>
    <row r="48" customFormat="false" ht="23.85" hidden="false" customHeight="false" outlineLevel="0" collapsed="false">
      <c r="A48" s="41" t="s">
        <v>182</v>
      </c>
      <c r="B48" s="41" t="s">
        <v>322</v>
      </c>
      <c r="C48" s="42" t="s">
        <v>323</v>
      </c>
      <c r="D48" s="42" t="s">
        <v>324</v>
      </c>
      <c r="E48" s="42" t="s">
        <v>325</v>
      </c>
      <c r="F48" s="42" t="s">
        <v>326</v>
      </c>
      <c r="G48" s="43" t="s">
        <v>96</v>
      </c>
      <c r="H48" s="42" t="s">
        <v>327</v>
      </c>
    </row>
    <row r="49" customFormat="false" ht="15" hidden="false" customHeight="false" outlineLevel="0" collapsed="false">
      <c r="A49" s="41" t="s">
        <v>182</v>
      </c>
      <c r="B49" s="41" t="s">
        <v>322</v>
      </c>
      <c r="C49" s="42" t="s">
        <v>328</v>
      </c>
      <c r="D49" s="42" t="s">
        <v>329</v>
      </c>
      <c r="E49" s="42" t="s">
        <v>325</v>
      </c>
      <c r="F49" s="42" t="s">
        <v>330</v>
      </c>
      <c r="G49" s="43" t="s">
        <v>96</v>
      </c>
      <c r="H49" s="42" t="s">
        <v>331</v>
      </c>
    </row>
    <row r="50" customFormat="false" ht="15" hidden="false" customHeight="false" outlineLevel="0" collapsed="false">
      <c r="A50" s="41" t="s">
        <v>182</v>
      </c>
      <c r="B50" s="41" t="s">
        <v>322</v>
      </c>
      <c r="C50" s="42" t="s">
        <v>332</v>
      </c>
      <c r="D50" s="42" t="s">
        <v>333</v>
      </c>
      <c r="E50" s="42" t="s">
        <v>325</v>
      </c>
      <c r="F50" s="42" t="s">
        <v>330</v>
      </c>
      <c r="G50" s="43" t="s">
        <v>96</v>
      </c>
      <c r="H50" s="42" t="s">
        <v>331</v>
      </c>
    </row>
    <row r="51" customFormat="false" ht="23.85" hidden="false" customHeight="false" outlineLevel="0" collapsed="false">
      <c r="A51" s="41" t="s">
        <v>182</v>
      </c>
      <c r="B51" s="41" t="s">
        <v>322</v>
      </c>
      <c r="C51" s="42" t="s">
        <v>334</v>
      </c>
      <c r="D51" s="42" t="s">
        <v>335</v>
      </c>
      <c r="E51" s="42" t="s">
        <v>325</v>
      </c>
      <c r="F51" s="42" t="s">
        <v>330</v>
      </c>
      <c r="G51" s="43" t="s">
        <v>96</v>
      </c>
      <c r="H51" s="42" t="s">
        <v>331</v>
      </c>
    </row>
    <row r="52" customFormat="false" ht="15" hidden="false" customHeight="false" outlineLevel="0" collapsed="false">
      <c r="A52" s="41" t="s">
        <v>182</v>
      </c>
      <c r="B52" s="41" t="s">
        <v>322</v>
      </c>
      <c r="C52" s="42" t="s">
        <v>336</v>
      </c>
      <c r="D52" s="42" t="s">
        <v>337</v>
      </c>
      <c r="E52" s="42" t="s">
        <v>325</v>
      </c>
      <c r="F52" s="42" t="s">
        <v>330</v>
      </c>
      <c r="G52" s="43" t="s">
        <v>96</v>
      </c>
      <c r="H52" s="42" t="s">
        <v>331</v>
      </c>
    </row>
    <row r="53" customFormat="false" ht="23.85" hidden="false" customHeight="false" outlineLevel="0" collapsed="false">
      <c r="A53" s="41" t="s">
        <v>207</v>
      </c>
      <c r="B53" s="41" t="s">
        <v>322</v>
      </c>
      <c r="C53" s="42" t="s">
        <v>338</v>
      </c>
      <c r="D53" s="42" t="s">
        <v>339</v>
      </c>
      <c r="E53" s="42" t="s">
        <v>189</v>
      </c>
      <c r="F53" s="42" t="s">
        <v>326</v>
      </c>
      <c r="G53" s="43" t="s">
        <v>96</v>
      </c>
      <c r="H53" s="42" t="s">
        <v>327</v>
      </c>
    </row>
    <row r="54" customFormat="false" ht="15" hidden="false" customHeight="false" outlineLevel="0" collapsed="false">
      <c r="A54" s="41" t="s">
        <v>207</v>
      </c>
      <c r="B54" s="41" t="s">
        <v>322</v>
      </c>
      <c r="C54" s="42" t="s">
        <v>340</v>
      </c>
      <c r="D54" s="42" t="s">
        <v>341</v>
      </c>
      <c r="E54" s="42" t="s">
        <v>189</v>
      </c>
      <c r="F54" s="42" t="s">
        <v>330</v>
      </c>
      <c r="G54" s="43" t="s">
        <v>96</v>
      </c>
      <c r="H54" s="42" t="s">
        <v>331</v>
      </c>
    </row>
    <row r="55" customFormat="false" ht="23.85" hidden="false" customHeight="false" outlineLevel="0" collapsed="false">
      <c r="A55" s="41" t="s">
        <v>207</v>
      </c>
      <c r="B55" s="41" t="s">
        <v>322</v>
      </c>
      <c r="C55" s="42" t="s">
        <v>342</v>
      </c>
      <c r="D55" s="42" t="s">
        <v>343</v>
      </c>
      <c r="E55" s="42" t="s">
        <v>189</v>
      </c>
      <c r="F55" s="42" t="s">
        <v>330</v>
      </c>
      <c r="G55" s="43" t="s">
        <v>96</v>
      </c>
      <c r="H55" s="42" t="s">
        <v>331</v>
      </c>
    </row>
    <row r="56" customFormat="false" ht="23.85" hidden="false" customHeight="false" outlineLevel="0" collapsed="false">
      <c r="A56" s="41" t="s">
        <v>207</v>
      </c>
      <c r="B56" s="41" t="s">
        <v>322</v>
      </c>
      <c r="C56" s="42" t="s">
        <v>344</v>
      </c>
      <c r="D56" s="42" t="s">
        <v>345</v>
      </c>
      <c r="E56" s="42" t="s">
        <v>189</v>
      </c>
      <c r="F56" s="42" t="s">
        <v>330</v>
      </c>
      <c r="G56" s="43" t="s">
        <v>96</v>
      </c>
      <c r="H56" s="42" t="s">
        <v>331</v>
      </c>
    </row>
    <row r="57" customFormat="false" ht="23.85" hidden="false" customHeight="false" outlineLevel="0" collapsed="false">
      <c r="A57" s="41" t="s">
        <v>207</v>
      </c>
      <c r="B57" s="41" t="s">
        <v>322</v>
      </c>
      <c r="C57" s="42" t="s">
        <v>346</v>
      </c>
      <c r="D57" s="42" t="s">
        <v>347</v>
      </c>
      <c r="E57" s="42" t="s">
        <v>189</v>
      </c>
      <c r="F57" s="42" t="s">
        <v>330</v>
      </c>
      <c r="G57" s="43" t="s">
        <v>96</v>
      </c>
      <c r="H57" s="42" t="s">
        <v>331</v>
      </c>
    </row>
    <row r="58" customFormat="false" ht="23.85" hidden="false" customHeight="false" outlineLevel="0" collapsed="false">
      <c r="A58" s="41" t="s">
        <v>222</v>
      </c>
      <c r="B58" s="41" t="s">
        <v>322</v>
      </c>
      <c r="C58" s="42" t="s">
        <v>348</v>
      </c>
      <c r="D58" s="42" t="s">
        <v>349</v>
      </c>
      <c r="E58" s="42" t="s">
        <v>189</v>
      </c>
      <c r="F58" s="42" t="s">
        <v>326</v>
      </c>
      <c r="G58" s="43" t="s">
        <v>96</v>
      </c>
      <c r="H58" s="42" t="s">
        <v>327</v>
      </c>
    </row>
    <row r="59" customFormat="false" ht="15" hidden="false" customHeight="false" outlineLevel="0" collapsed="false">
      <c r="A59" s="41" t="s">
        <v>222</v>
      </c>
      <c r="B59" s="41" t="s">
        <v>322</v>
      </c>
      <c r="C59" s="42" t="s">
        <v>350</v>
      </c>
      <c r="D59" s="42" t="s">
        <v>351</v>
      </c>
      <c r="E59" s="42" t="s">
        <v>189</v>
      </c>
      <c r="F59" s="42" t="s">
        <v>330</v>
      </c>
      <c r="G59" s="43" t="s">
        <v>96</v>
      </c>
      <c r="H59" s="42" t="s">
        <v>331</v>
      </c>
    </row>
    <row r="60" customFormat="false" ht="15" hidden="false" customHeight="false" outlineLevel="0" collapsed="false">
      <c r="A60" s="41" t="s">
        <v>222</v>
      </c>
      <c r="B60" s="41" t="s">
        <v>322</v>
      </c>
      <c r="C60" s="42" t="s">
        <v>352</v>
      </c>
      <c r="D60" s="42" t="s">
        <v>353</v>
      </c>
      <c r="E60" s="42" t="s">
        <v>189</v>
      </c>
      <c r="F60" s="42" t="s">
        <v>330</v>
      </c>
      <c r="G60" s="43" t="s">
        <v>96</v>
      </c>
      <c r="H60" s="42" t="s">
        <v>331</v>
      </c>
    </row>
    <row r="61" customFormat="false" ht="23.85" hidden="false" customHeight="false" outlineLevel="0" collapsed="false">
      <c r="A61" s="41" t="s">
        <v>222</v>
      </c>
      <c r="B61" s="41" t="s">
        <v>322</v>
      </c>
      <c r="C61" s="42" t="s">
        <v>354</v>
      </c>
      <c r="D61" s="42" t="s">
        <v>355</v>
      </c>
      <c r="E61" s="42" t="s">
        <v>189</v>
      </c>
      <c r="F61" s="42" t="s">
        <v>330</v>
      </c>
      <c r="G61" s="43" t="s">
        <v>96</v>
      </c>
      <c r="H61" s="42" t="s">
        <v>331</v>
      </c>
    </row>
    <row r="62" customFormat="false" ht="23.85" hidden="false" customHeight="false" outlineLevel="0" collapsed="false">
      <c r="A62" s="41" t="s">
        <v>238</v>
      </c>
      <c r="B62" s="41" t="s">
        <v>322</v>
      </c>
      <c r="C62" s="42" t="s">
        <v>356</v>
      </c>
      <c r="D62" s="42" t="s">
        <v>357</v>
      </c>
      <c r="E62" s="42" t="s">
        <v>358</v>
      </c>
      <c r="F62" s="42" t="s">
        <v>359</v>
      </c>
      <c r="G62" s="43" t="s">
        <v>96</v>
      </c>
      <c r="H62" s="42" t="s">
        <v>331</v>
      </c>
    </row>
    <row r="63" customFormat="false" ht="23.85" hidden="false" customHeight="false" outlineLevel="0" collapsed="false">
      <c r="A63" s="41" t="s">
        <v>238</v>
      </c>
      <c r="B63" s="41" t="s">
        <v>322</v>
      </c>
      <c r="C63" s="42" t="s">
        <v>360</v>
      </c>
      <c r="D63" s="42" t="s">
        <v>361</v>
      </c>
      <c r="E63" s="42" t="s">
        <v>358</v>
      </c>
      <c r="F63" s="42" t="s">
        <v>330</v>
      </c>
      <c r="G63" s="43" t="s">
        <v>96</v>
      </c>
      <c r="H63" s="42" t="s">
        <v>331</v>
      </c>
    </row>
    <row r="64" customFormat="false" ht="15" hidden="false" customHeight="false" outlineLevel="0" collapsed="false">
      <c r="A64" s="41" t="s">
        <v>238</v>
      </c>
      <c r="B64" s="41" t="s">
        <v>322</v>
      </c>
      <c r="C64" s="42" t="s">
        <v>362</v>
      </c>
      <c r="D64" s="42" t="s">
        <v>363</v>
      </c>
      <c r="E64" s="42" t="s">
        <v>358</v>
      </c>
      <c r="F64" s="42" t="s">
        <v>330</v>
      </c>
      <c r="G64" s="43" t="s">
        <v>96</v>
      </c>
      <c r="H64" s="42" t="s">
        <v>331</v>
      </c>
    </row>
    <row r="65" customFormat="false" ht="23.85" hidden="false" customHeight="false" outlineLevel="0" collapsed="false">
      <c r="A65" s="41" t="s">
        <v>238</v>
      </c>
      <c r="B65" s="41" t="s">
        <v>322</v>
      </c>
      <c r="C65" s="42" t="s">
        <v>334</v>
      </c>
      <c r="D65" s="42" t="s">
        <v>364</v>
      </c>
      <c r="E65" s="42" t="s">
        <v>358</v>
      </c>
      <c r="F65" s="42" t="s">
        <v>330</v>
      </c>
      <c r="G65" s="43" t="s">
        <v>96</v>
      </c>
      <c r="H65" s="42" t="s">
        <v>331</v>
      </c>
    </row>
    <row r="66" customFormat="false" ht="23.85" hidden="false" customHeight="false" outlineLevel="0" collapsed="false">
      <c r="A66" s="41" t="s">
        <v>238</v>
      </c>
      <c r="B66" s="41" t="s">
        <v>322</v>
      </c>
      <c r="C66" s="42" t="s">
        <v>315</v>
      </c>
      <c r="D66" s="42" t="s">
        <v>365</v>
      </c>
      <c r="E66" s="42" t="s">
        <v>358</v>
      </c>
      <c r="F66" s="42" t="s">
        <v>366</v>
      </c>
      <c r="G66" s="46" t="s">
        <v>108</v>
      </c>
      <c r="H66" s="42" t="s">
        <v>367</v>
      </c>
    </row>
    <row r="67" customFormat="false" ht="15" hidden="false" customHeight="false" outlineLevel="0" collapsed="false">
      <c r="A67" s="42" t="s">
        <v>182</v>
      </c>
      <c r="B67" s="42" t="s">
        <v>104</v>
      </c>
      <c r="C67" s="42" t="s">
        <v>368</v>
      </c>
      <c r="D67" s="42" t="s">
        <v>369</v>
      </c>
      <c r="E67" s="42" t="s">
        <v>368</v>
      </c>
      <c r="F67" s="42" t="s">
        <v>370</v>
      </c>
      <c r="G67" s="43" t="s">
        <v>96</v>
      </c>
      <c r="H67" s="42"/>
    </row>
    <row r="68" customFormat="false" ht="15" hidden="false" customHeight="false" outlineLevel="0" collapsed="false">
      <c r="A68" s="42" t="s">
        <v>182</v>
      </c>
      <c r="B68" s="42" t="s">
        <v>104</v>
      </c>
      <c r="C68" s="42" t="s">
        <v>305</v>
      </c>
      <c r="D68" s="42" t="s">
        <v>371</v>
      </c>
      <c r="E68" s="42" t="s">
        <v>305</v>
      </c>
      <c r="F68" s="42" t="s">
        <v>370</v>
      </c>
      <c r="G68" s="43" t="s">
        <v>96</v>
      </c>
      <c r="H68" s="42"/>
    </row>
    <row r="69" customFormat="false" ht="23.85" hidden="false" customHeight="false" outlineLevel="0" collapsed="false">
      <c r="A69" s="42" t="s">
        <v>182</v>
      </c>
      <c r="B69" s="42" t="s">
        <v>104</v>
      </c>
      <c r="C69" s="42" t="s">
        <v>372</v>
      </c>
      <c r="D69" s="42" t="s">
        <v>373</v>
      </c>
      <c r="E69" s="42" t="s">
        <v>372</v>
      </c>
      <c r="F69" s="42" t="s">
        <v>370</v>
      </c>
      <c r="G69" s="43" t="s">
        <v>96</v>
      </c>
      <c r="H69" s="42"/>
    </row>
    <row r="70" customFormat="false" ht="23.85" hidden="false" customHeight="false" outlineLevel="0" collapsed="false">
      <c r="A70" s="42" t="s">
        <v>182</v>
      </c>
      <c r="B70" s="42" t="s">
        <v>104</v>
      </c>
      <c r="C70" s="42" t="s">
        <v>374</v>
      </c>
      <c r="D70" s="42" t="s">
        <v>375</v>
      </c>
      <c r="E70" s="42" t="s">
        <v>376</v>
      </c>
      <c r="F70" s="42" t="s">
        <v>377</v>
      </c>
      <c r="G70" s="46" t="s">
        <v>108</v>
      </c>
      <c r="H70" s="42"/>
    </row>
    <row r="71" customFormat="false" ht="15" hidden="false" customHeight="false" outlineLevel="0" collapsed="false">
      <c r="A71" s="42" t="s">
        <v>182</v>
      </c>
      <c r="B71" s="42" t="s">
        <v>104</v>
      </c>
      <c r="C71" s="42" t="s">
        <v>378</v>
      </c>
      <c r="D71" s="42" t="s">
        <v>379</v>
      </c>
      <c r="E71" s="42" t="s">
        <v>378</v>
      </c>
      <c r="F71" s="42" t="s">
        <v>370</v>
      </c>
      <c r="G71" s="43" t="s">
        <v>96</v>
      </c>
      <c r="H71" s="42"/>
    </row>
    <row r="72" customFormat="false" ht="23.85" hidden="false" customHeight="false" outlineLevel="0" collapsed="false">
      <c r="A72" s="42" t="s">
        <v>182</v>
      </c>
      <c r="B72" s="42" t="s">
        <v>104</v>
      </c>
      <c r="C72" s="42" t="s">
        <v>336</v>
      </c>
      <c r="D72" s="42" t="s">
        <v>203</v>
      </c>
      <c r="E72" s="42" t="s">
        <v>380</v>
      </c>
      <c r="F72" s="42" t="s">
        <v>381</v>
      </c>
      <c r="G72" s="43" t="s">
        <v>96</v>
      </c>
      <c r="H72" s="42"/>
    </row>
    <row r="73" customFormat="false" ht="15" hidden="false" customHeight="false" outlineLevel="0" collapsed="false">
      <c r="A73" s="42" t="s">
        <v>207</v>
      </c>
      <c r="B73" s="42" t="s">
        <v>104</v>
      </c>
      <c r="C73" s="42" t="s">
        <v>382</v>
      </c>
      <c r="D73" s="42" t="s">
        <v>383</v>
      </c>
      <c r="E73" s="42" t="s">
        <v>382</v>
      </c>
      <c r="F73" s="42" t="s">
        <v>377</v>
      </c>
      <c r="G73" s="46" t="s">
        <v>108</v>
      </c>
      <c r="H73" s="42"/>
    </row>
    <row r="74" customFormat="false" ht="23.85" hidden="false" customHeight="false" outlineLevel="0" collapsed="false">
      <c r="A74" s="42" t="s">
        <v>207</v>
      </c>
      <c r="B74" s="42" t="s">
        <v>104</v>
      </c>
      <c r="C74" s="42" t="s">
        <v>384</v>
      </c>
      <c r="D74" s="42" t="s">
        <v>385</v>
      </c>
      <c r="E74" s="42" t="s">
        <v>386</v>
      </c>
      <c r="F74" s="42" t="s">
        <v>387</v>
      </c>
      <c r="G74" s="43" t="s">
        <v>96</v>
      </c>
      <c r="H74" s="42"/>
    </row>
    <row r="75" customFormat="false" ht="15" hidden="false" customHeight="false" outlineLevel="0" collapsed="false">
      <c r="A75" s="42" t="s">
        <v>207</v>
      </c>
      <c r="B75" s="42" t="s">
        <v>104</v>
      </c>
      <c r="C75" s="42" t="s">
        <v>388</v>
      </c>
      <c r="D75" s="42" t="s">
        <v>389</v>
      </c>
      <c r="E75" s="42" t="s">
        <v>388</v>
      </c>
      <c r="F75" s="42" t="s">
        <v>370</v>
      </c>
      <c r="G75" s="43" t="s">
        <v>96</v>
      </c>
      <c r="H75" s="42"/>
    </row>
    <row r="76" customFormat="false" ht="15" hidden="false" customHeight="false" outlineLevel="0" collapsed="false">
      <c r="A76" s="42" t="s">
        <v>207</v>
      </c>
      <c r="B76" s="42" t="s">
        <v>104</v>
      </c>
      <c r="C76" s="42" t="s">
        <v>390</v>
      </c>
      <c r="D76" s="42" t="s">
        <v>232</v>
      </c>
      <c r="E76" s="42" t="s">
        <v>390</v>
      </c>
      <c r="F76" s="42" t="s">
        <v>370</v>
      </c>
      <c r="G76" s="43" t="s">
        <v>96</v>
      </c>
      <c r="H76" s="42"/>
    </row>
    <row r="77" customFormat="false" ht="23.85" hidden="false" customHeight="false" outlineLevel="0" collapsed="false">
      <c r="A77" s="42" t="s">
        <v>207</v>
      </c>
      <c r="B77" s="42" t="s">
        <v>104</v>
      </c>
      <c r="C77" s="42" t="s">
        <v>391</v>
      </c>
      <c r="D77" s="42" t="s">
        <v>392</v>
      </c>
      <c r="E77" s="42" t="s">
        <v>393</v>
      </c>
      <c r="F77" s="42" t="s">
        <v>394</v>
      </c>
      <c r="G77" s="46" t="s">
        <v>108</v>
      </c>
      <c r="H77" s="42" t="s">
        <v>395</v>
      </c>
    </row>
    <row r="78" customFormat="false" ht="15" hidden="false" customHeight="false" outlineLevel="0" collapsed="false">
      <c r="A78" s="42" t="s">
        <v>207</v>
      </c>
      <c r="B78" s="42" t="s">
        <v>104</v>
      </c>
      <c r="C78" s="42" t="s">
        <v>396</v>
      </c>
      <c r="D78" s="42" t="s">
        <v>397</v>
      </c>
      <c r="E78" s="42" t="s">
        <v>393</v>
      </c>
      <c r="F78" s="42" t="s">
        <v>398</v>
      </c>
      <c r="G78" s="43" t="s">
        <v>96</v>
      </c>
      <c r="H78" s="42"/>
    </row>
    <row r="79" customFormat="false" ht="15" hidden="false" customHeight="false" outlineLevel="0" collapsed="false">
      <c r="A79" s="42" t="s">
        <v>222</v>
      </c>
      <c r="B79" s="42" t="s">
        <v>104</v>
      </c>
      <c r="C79" s="42" t="s">
        <v>399</v>
      </c>
      <c r="D79" s="42" t="s">
        <v>400</v>
      </c>
      <c r="E79" s="42" t="s">
        <v>401</v>
      </c>
      <c r="F79" s="42" t="s">
        <v>377</v>
      </c>
      <c r="G79" s="46" t="s">
        <v>108</v>
      </c>
      <c r="H79" s="42"/>
    </row>
    <row r="80" customFormat="false" ht="15" hidden="false" customHeight="false" outlineLevel="0" collapsed="false">
      <c r="A80" s="42" t="s">
        <v>222</v>
      </c>
      <c r="B80" s="42" t="s">
        <v>104</v>
      </c>
      <c r="C80" s="42" t="s">
        <v>402</v>
      </c>
      <c r="D80" s="42" t="s">
        <v>403</v>
      </c>
      <c r="E80" s="42" t="s">
        <v>402</v>
      </c>
      <c r="F80" s="42" t="s">
        <v>370</v>
      </c>
      <c r="G80" s="43" t="s">
        <v>96</v>
      </c>
      <c r="H80" s="42"/>
    </row>
    <row r="81" customFormat="false" ht="15" hidden="false" customHeight="false" outlineLevel="0" collapsed="false">
      <c r="A81" s="42" t="s">
        <v>222</v>
      </c>
      <c r="B81" s="42" t="s">
        <v>104</v>
      </c>
      <c r="C81" s="42" t="s">
        <v>214</v>
      </c>
      <c r="D81" s="42" t="s">
        <v>404</v>
      </c>
      <c r="E81" s="42" t="s">
        <v>214</v>
      </c>
      <c r="F81" s="42" t="s">
        <v>370</v>
      </c>
      <c r="G81" s="43" t="s">
        <v>96</v>
      </c>
      <c r="H81" s="42"/>
    </row>
    <row r="82" customFormat="false" ht="23.85" hidden="false" customHeight="false" outlineLevel="0" collapsed="false">
      <c r="A82" s="42" t="s">
        <v>222</v>
      </c>
      <c r="B82" s="42" t="s">
        <v>104</v>
      </c>
      <c r="C82" s="42" t="s">
        <v>390</v>
      </c>
      <c r="D82" s="42" t="s">
        <v>405</v>
      </c>
      <c r="E82" s="42" t="s">
        <v>406</v>
      </c>
      <c r="F82" s="42" t="s">
        <v>407</v>
      </c>
      <c r="G82" s="43" t="s">
        <v>96</v>
      </c>
      <c r="H82" s="42" t="s">
        <v>408</v>
      </c>
    </row>
    <row r="83" customFormat="false" ht="23.85" hidden="false" customHeight="false" outlineLevel="0" collapsed="false">
      <c r="A83" s="42" t="s">
        <v>222</v>
      </c>
      <c r="B83" s="42" t="s">
        <v>104</v>
      </c>
      <c r="C83" s="42" t="s">
        <v>283</v>
      </c>
      <c r="D83" s="42" t="s">
        <v>409</v>
      </c>
      <c r="E83" s="42" t="s">
        <v>283</v>
      </c>
      <c r="F83" s="42" t="s">
        <v>370</v>
      </c>
      <c r="G83" s="43" t="s">
        <v>96</v>
      </c>
      <c r="H83" s="42"/>
    </row>
    <row r="84" customFormat="false" ht="15" hidden="false" customHeight="false" outlineLevel="0" collapsed="false">
      <c r="A84" s="42" t="s">
        <v>222</v>
      </c>
      <c r="B84" s="42" t="s">
        <v>104</v>
      </c>
      <c r="C84" s="42" t="s">
        <v>410</v>
      </c>
      <c r="D84" s="42" t="s">
        <v>397</v>
      </c>
      <c r="E84" s="42" t="s">
        <v>410</v>
      </c>
      <c r="F84" s="42" t="s">
        <v>370</v>
      </c>
      <c r="G84" s="43" t="s">
        <v>96</v>
      </c>
      <c r="H84" s="42"/>
    </row>
    <row r="85" customFormat="false" ht="15" hidden="false" customHeight="false" outlineLevel="0" collapsed="false">
      <c r="A85" s="42" t="s">
        <v>238</v>
      </c>
      <c r="B85" s="42" t="s">
        <v>104</v>
      </c>
      <c r="C85" s="42" t="s">
        <v>402</v>
      </c>
      <c r="D85" s="42" t="s">
        <v>369</v>
      </c>
      <c r="E85" s="42" t="s">
        <v>402</v>
      </c>
      <c r="F85" s="42" t="s">
        <v>370</v>
      </c>
      <c r="G85" s="43" t="s">
        <v>96</v>
      </c>
      <c r="H85" s="42"/>
    </row>
    <row r="86" customFormat="false" ht="23.85" hidden="false" customHeight="false" outlineLevel="0" collapsed="false">
      <c r="A86" s="42" t="s">
        <v>238</v>
      </c>
      <c r="B86" s="42" t="s">
        <v>104</v>
      </c>
      <c r="C86" s="42" t="s">
        <v>411</v>
      </c>
      <c r="D86" s="42" t="s">
        <v>412</v>
      </c>
      <c r="E86" s="42" t="s">
        <v>411</v>
      </c>
      <c r="F86" s="42" t="s">
        <v>370</v>
      </c>
      <c r="G86" s="43" t="s">
        <v>96</v>
      </c>
      <c r="H86" s="42"/>
    </row>
    <row r="87" customFormat="false" ht="15" hidden="false" customHeight="false" outlineLevel="0" collapsed="false">
      <c r="A87" s="42" t="s">
        <v>238</v>
      </c>
      <c r="B87" s="42" t="s">
        <v>104</v>
      </c>
      <c r="C87" s="42" t="s">
        <v>413</v>
      </c>
      <c r="D87" s="42" t="s">
        <v>414</v>
      </c>
      <c r="E87" s="42" t="s">
        <v>413</v>
      </c>
      <c r="F87" s="42" t="s">
        <v>370</v>
      </c>
      <c r="G87" s="43" t="s">
        <v>96</v>
      </c>
      <c r="H87" s="42"/>
    </row>
    <row r="88" customFormat="false" ht="23.85" hidden="false" customHeight="false" outlineLevel="0" collapsed="false">
      <c r="A88" s="42" t="s">
        <v>238</v>
      </c>
      <c r="B88" s="42" t="s">
        <v>104</v>
      </c>
      <c r="C88" s="42" t="s">
        <v>315</v>
      </c>
      <c r="D88" s="42" t="s">
        <v>318</v>
      </c>
      <c r="E88" s="42" t="s">
        <v>315</v>
      </c>
      <c r="F88" s="42" t="s">
        <v>370</v>
      </c>
      <c r="G88" s="43" t="s">
        <v>96</v>
      </c>
      <c r="H88" s="42"/>
    </row>
    <row r="89" customFormat="false" ht="15" hidden="false" customHeight="false" outlineLevel="0" collapsed="false">
      <c r="A89" s="41" t="s">
        <v>182</v>
      </c>
      <c r="B89" s="41" t="s">
        <v>97</v>
      </c>
      <c r="C89" s="42" t="s">
        <v>411</v>
      </c>
      <c r="D89" s="42" t="s">
        <v>415</v>
      </c>
      <c r="E89" s="42" t="s">
        <v>411</v>
      </c>
      <c r="F89" s="42" t="s">
        <v>185</v>
      </c>
      <c r="G89" s="43" t="s">
        <v>96</v>
      </c>
      <c r="H89" s="42"/>
    </row>
    <row r="90" customFormat="false" ht="15" hidden="false" customHeight="false" outlineLevel="0" collapsed="false">
      <c r="A90" s="41" t="s">
        <v>182</v>
      </c>
      <c r="B90" s="41" t="s">
        <v>97</v>
      </c>
      <c r="C90" s="42" t="s">
        <v>416</v>
      </c>
      <c r="D90" s="42" t="s">
        <v>417</v>
      </c>
      <c r="E90" s="42" t="s">
        <v>189</v>
      </c>
      <c r="F90" s="42" t="s">
        <v>189</v>
      </c>
      <c r="G90" s="46" t="s">
        <v>108</v>
      </c>
      <c r="H90" s="42" t="s">
        <v>418</v>
      </c>
    </row>
    <row r="91" customFormat="false" ht="15" hidden="false" customHeight="false" outlineLevel="0" collapsed="false">
      <c r="A91" s="41" t="s">
        <v>182</v>
      </c>
      <c r="B91" s="41" t="s">
        <v>97</v>
      </c>
      <c r="C91" s="42" t="s">
        <v>419</v>
      </c>
      <c r="D91" s="42" t="s">
        <v>420</v>
      </c>
      <c r="E91" s="42" t="s">
        <v>421</v>
      </c>
      <c r="F91" s="42" t="s">
        <v>422</v>
      </c>
      <c r="G91" s="43" t="s">
        <v>96</v>
      </c>
      <c r="H91" s="42"/>
    </row>
    <row r="92" customFormat="false" ht="23.85" hidden="false" customHeight="false" outlineLevel="0" collapsed="false">
      <c r="A92" s="41" t="s">
        <v>182</v>
      </c>
      <c r="B92" s="41" t="s">
        <v>97</v>
      </c>
      <c r="C92" s="42" t="s">
        <v>423</v>
      </c>
      <c r="D92" s="42" t="s">
        <v>424</v>
      </c>
      <c r="E92" s="42" t="s">
        <v>425</v>
      </c>
      <c r="F92" s="42" t="s">
        <v>426</v>
      </c>
      <c r="G92" s="43" t="s">
        <v>96</v>
      </c>
      <c r="H92" s="42" t="s">
        <v>427</v>
      </c>
    </row>
    <row r="93" customFormat="false" ht="23.85" hidden="false" customHeight="false" outlineLevel="0" collapsed="false">
      <c r="A93" s="41" t="s">
        <v>182</v>
      </c>
      <c r="B93" s="41" t="s">
        <v>97</v>
      </c>
      <c r="C93" s="42" t="s">
        <v>428</v>
      </c>
      <c r="D93" s="42" t="s">
        <v>429</v>
      </c>
      <c r="E93" s="42" t="s">
        <v>425</v>
      </c>
      <c r="F93" s="42" t="s">
        <v>430</v>
      </c>
      <c r="G93" s="43" t="s">
        <v>96</v>
      </c>
      <c r="H93" s="42" t="s">
        <v>431</v>
      </c>
    </row>
    <row r="94" customFormat="false" ht="23.85" hidden="false" customHeight="false" outlineLevel="0" collapsed="false">
      <c r="A94" s="41" t="s">
        <v>182</v>
      </c>
      <c r="B94" s="41" t="s">
        <v>97</v>
      </c>
      <c r="C94" s="42" t="s">
        <v>432</v>
      </c>
      <c r="D94" s="42" t="s">
        <v>203</v>
      </c>
      <c r="E94" s="42" t="s">
        <v>433</v>
      </c>
      <c r="F94" s="42" t="s">
        <v>434</v>
      </c>
      <c r="G94" s="43" t="s">
        <v>96</v>
      </c>
      <c r="H94" s="42" t="s">
        <v>435</v>
      </c>
    </row>
    <row r="95" customFormat="false" ht="23.85" hidden="false" customHeight="false" outlineLevel="0" collapsed="false">
      <c r="A95" s="41" t="s">
        <v>207</v>
      </c>
      <c r="B95" s="41" t="s">
        <v>97</v>
      </c>
      <c r="C95" s="42" t="s">
        <v>436</v>
      </c>
      <c r="D95" s="42" t="s">
        <v>437</v>
      </c>
      <c r="E95" s="42" t="s">
        <v>189</v>
      </c>
      <c r="F95" s="42" t="s">
        <v>189</v>
      </c>
      <c r="G95" s="46" t="s">
        <v>108</v>
      </c>
      <c r="H95" s="42" t="s">
        <v>438</v>
      </c>
    </row>
    <row r="96" customFormat="false" ht="23.85" hidden="false" customHeight="false" outlineLevel="0" collapsed="false">
      <c r="A96" s="41" t="s">
        <v>207</v>
      </c>
      <c r="B96" s="41" t="s">
        <v>97</v>
      </c>
      <c r="C96" s="42" t="s">
        <v>231</v>
      </c>
      <c r="D96" s="42" t="s">
        <v>439</v>
      </c>
      <c r="E96" s="42" t="s">
        <v>189</v>
      </c>
      <c r="F96" s="42" t="s">
        <v>189</v>
      </c>
      <c r="G96" s="46" t="s">
        <v>108</v>
      </c>
      <c r="H96" s="42" t="s">
        <v>271</v>
      </c>
    </row>
    <row r="97" customFormat="false" ht="23.85" hidden="false" customHeight="false" outlineLevel="0" collapsed="false">
      <c r="A97" s="41" t="s">
        <v>207</v>
      </c>
      <c r="B97" s="41" t="s">
        <v>97</v>
      </c>
      <c r="C97" s="42" t="s">
        <v>354</v>
      </c>
      <c r="D97" s="42" t="s">
        <v>440</v>
      </c>
      <c r="E97" s="42" t="s">
        <v>269</v>
      </c>
      <c r="F97" s="42" t="s">
        <v>441</v>
      </c>
      <c r="G97" s="43" t="s">
        <v>96</v>
      </c>
      <c r="H97" s="42"/>
    </row>
    <row r="98" customFormat="false" ht="23.85" hidden="false" customHeight="false" outlineLevel="0" collapsed="false">
      <c r="A98" s="41" t="s">
        <v>207</v>
      </c>
      <c r="B98" s="41" t="s">
        <v>97</v>
      </c>
      <c r="C98" s="42" t="s">
        <v>285</v>
      </c>
      <c r="D98" s="42" t="s">
        <v>442</v>
      </c>
      <c r="E98" s="42" t="s">
        <v>443</v>
      </c>
      <c r="F98" s="42" t="s">
        <v>444</v>
      </c>
      <c r="G98" s="46" t="s">
        <v>108</v>
      </c>
      <c r="H98" s="42"/>
    </row>
    <row r="99" customFormat="false" ht="23.85" hidden="false" customHeight="false" outlineLevel="0" collapsed="false">
      <c r="A99" s="41" t="s">
        <v>207</v>
      </c>
      <c r="B99" s="41" t="s">
        <v>97</v>
      </c>
      <c r="C99" s="42" t="s">
        <v>445</v>
      </c>
      <c r="D99" s="42" t="s">
        <v>446</v>
      </c>
      <c r="E99" s="42" t="s">
        <v>443</v>
      </c>
      <c r="F99" s="42" t="s">
        <v>447</v>
      </c>
      <c r="G99" s="43" t="s">
        <v>96</v>
      </c>
      <c r="H99" s="42" t="s">
        <v>448</v>
      </c>
    </row>
    <row r="100" customFormat="false" ht="23.85" hidden="false" customHeight="false" outlineLevel="0" collapsed="false">
      <c r="A100" s="41" t="s">
        <v>222</v>
      </c>
      <c r="B100" s="41" t="s">
        <v>97</v>
      </c>
      <c r="C100" s="42" t="s">
        <v>372</v>
      </c>
      <c r="D100" s="42" t="s">
        <v>449</v>
      </c>
      <c r="E100" s="42" t="s">
        <v>450</v>
      </c>
      <c r="F100" s="42" t="s">
        <v>451</v>
      </c>
      <c r="G100" s="46" t="s">
        <v>108</v>
      </c>
      <c r="H100" s="42"/>
    </row>
    <row r="101" customFormat="false" ht="15" hidden="false" customHeight="false" outlineLevel="0" collapsed="false">
      <c r="A101" s="41" t="s">
        <v>222</v>
      </c>
      <c r="B101" s="41" t="s">
        <v>97</v>
      </c>
      <c r="C101" s="42" t="s">
        <v>452</v>
      </c>
      <c r="D101" s="42" t="s">
        <v>417</v>
      </c>
      <c r="E101" s="42" t="s">
        <v>189</v>
      </c>
      <c r="F101" s="42" t="s">
        <v>189</v>
      </c>
      <c r="G101" s="46" t="s">
        <v>108</v>
      </c>
      <c r="H101" s="42" t="s">
        <v>271</v>
      </c>
    </row>
    <row r="102" customFormat="false" ht="15" hidden="false" customHeight="false" outlineLevel="0" collapsed="false">
      <c r="A102" s="41" t="s">
        <v>222</v>
      </c>
      <c r="B102" s="41" t="s">
        <v>97</v>
      </c>
      <c r="C102" s="42" t="s">
        <v>453</v>
      </c>
      <c r="D102" s="42" t="s">
        <v>420</v>
      </c>
      <c r="E102" s="42" t="s">
        <v>454</v>
      </c>
      <c r="F102" s="42" t="s">
        <v>455</v>
      </c>
      <c r="G102" s="43" t="s">
        <v>96</v>
      </c>
      <c r="H102" s="42"/>
    </row>
    <row r="103" customFormat="false" ht="15" hidden="false" customHeight="false" outlineLevel="0" collapsed="false">
      <c r="A103" s="41" t="s">
        <v>222</v>
      </c>
      <c r="B103" s="41" t="s">
        <v>97</v>
      </c>
      <c r="C103" s="42" t="s">
        <v>423</v>
      </c>
      <c r="D103" s="42" t="s">
        <v>456</v>
      </c>
      <c r="E103" s="42" t="s">
        <v>189</v>
      </c>
      <c r="F103" s="42" t="s">
        <v>189</v>
      </c>
      <c r="G103" s="46" t="s">
        <v>108</v>
      </c>
      <c r="H103" s="42" t="s">
        <v>271</v>
      </c>
    </row>
    <row r="104" customFormat="false" ht="23.85" hidden="false" customHeight="false" outlineLevel="0" collapsed="false">
      <c r="A104" s="41" t="s">
        <v>222</v>
      </c>
      <c r="B104" s="41" t="s">
        <v>97</v>
      </c>
      <c r="C104" s="42" t="s">
        <v>457</v>
      </c>
      <c r="D104" s="42" t="s">
        <v>429</v>
      </c>
      <c r="E104" s="42" t="s">
        <v>189</v>
      </c>
      <c r="F104" s="42" t="s">
        <v>189</v>
      </c>
      <c r="G104" s="46" t="s">
        <v>108</v>
      </c>
      <c r="H104" s="42" t="s">
        <v>271</v>
      </c>
    </row>
    <row r="105" customFormat="false" ht="23.85" hidden="false" customHeight="false" outlineLevel="0" collapsed="false">
      <c r="A105" s="41" t="s">
        <v>222</v>
      </c>
      <c r="B105" s="41" t="s">
        <v>97</v>
      </c>
      <c r="C105" s="42" t="s">
        <v>458</v>
      </c>
      <c r="D105" s="42" t="s">
        <v>459</v>
      </c>
      <c r="E105" s="42" t="s">
        <v>189</v>
      </c>
      <c r="F105" s="42" t="s">
        <v>189</v>
      </c>
      <c r="G105" s="46" t="s">
        <v>108</v>
      </c>
      <c r="H105" s="42" t="s">
        <v>271</v>
      </c>
    </row>
    <row r="106" customFormat="false" ht="23.85" hidden="false" customHeight="false" outlineLevel="0" collapsed="false">
      <c r="A106" s="41" t="s">
        <v>238</v>
      </c>
      <c r="B106" s="41" t="s">
        <v>97</v>
      </c>
      <c r="C106" s="42" t="s">
        <v>460</v>
      </c>
      <c r="D106" s="42" t="s">
        <v>361</v>
      </c>
      <c r="E106" s="42" t="s">
        <v>189</v>
      </c>
      <c r="F106" s="42" t="s">
        <v>189</v>
      </c>
      <c r="G106" s="46" t="s">
        <v>108</v>
      </c>
      <c r="H106" s="42" t="s">
        <v>271</v>
      </c>
    </row>
    <row r="107" customFormat="false" ht="15" hidden="false" customHeight="false" outlineLevel="0" collapsed="false">
      <c r="A107" s="41" t="s">
        <v>238</v>
      </c>
      <c r="B107" s="41" t="s">
        <v>97</v>
      </c>
      <c r="C107" s="42" t="s">
        <v>413</v>
      </c>
      <c r="D107" s="42" t="s">
        <v>449</v>
      </c>
      <c r="E107" s="42" t="s">
        <v>189</v>
      </c>
      <c r="F107" s="42" t="s">
        <v>189</v>
      </c>
      <c r="G107" s="46" t="s">
        <v>108</v>
      </c>
      <c r="H107" s="42" t="s">
        <v>271</v>
      </c>
    </row>
    <row r="108" customFormat="false" ht="15" hidden="false" customHeight="false" outlineLevel="0" collapsed="false">
      <c r="A108" s="41" t="s">
        <v>238</v>
      </c>
      <c r="B108" s="41" t="s">
        <v>97</v>
      </c>
      <c r="C108" s="42" t="s">
        <v>461</v>
      </c>
      <c r="D108" s="42" t="s">
        <v>456</v>
      </c>
      <c r="E108" s="42" t="s">
        <v>189</v>
      </c>
      <c r="F108" s="42" t="s">
        <v>189</v>
      </c>
      <c r="G108" s="46" t="s">
        <v>108</v>
      </c>
      <c r="H108" s="42" t="s">
        <v>271</v>
      </c>
    </row>
    <row r="109" customFormat="false" ht="23.85" hidden="false" customHeight="false" outlineLevel="0" collapsed="false">
      <c r="A109" s="41" t="s">
        <v>238</v>
      </c>
      <c r="B109" s="41" t="s">
        <v>97</v>
      </c>
      <c r="C109" s="42" t="s">
        <v>317</v>
      </c>
      <c r="D109" s="42" t="s">
        <v>318</v>
      </c>
      <c r="E109" s="42" t="s">
        <v>317</v>
      </c>
      <c r="F109" s="42" t="s">
        <v>462</v>
      </c>
      <c r="G109" s="43" t="s">
        <v>96</v>
      </c>
      <c r="H109" s="42" t="s">
        <v>463</v>
      </c>
    </row>
    <row r="110" customFormat="false" ht="23.85" hidden="false" customHeight="false" outlineLevel="0" collapsed="false">
      <c r="A110" s="42" t="s">
        <v>182</v>
      </c>
      <c r="B110" s="42" t="s">
        <v>100</v>
      </c>
      <c r="C110" s="42" t="s">
        <v>464</v>
      </c>
      <c r="D110" s="42" t="s">
        <v>415</v>
      </c>
      <c r="E110" s="42" t="s">
        <v>189</v>
      </c>
      <c r="F110" s="42" t="s">
        <v>189</v>
      </c>
      <c r="G110" s="43" t="s">
        <v>96</v>
      </c>
      <c r="H110" s="42" t="s">
        <v>465</v>
      </c>
    </row>
    <row r="111" customFormat="false" ht="23.85" hidden="false" customHeight="false" outlineLevel="0" collapsed="false">
      <c r="A111" s="42" t="s">
        <v>182</v>
      </c>
      <c r="B111" s="42" t="s">
        <v>100</v>
      </c>
      <c r="C111" s="42" t="s">
        <v>436</v>
      </c>
      <c r="D111" s="42" t="s">
        <v>466</v>
      </c>
      <c r="E111" s="42" t="s">
        <v>189</v>
      </c>
      <c r="F111" s="42" t="s">
        <v>189</v>
      </c>
      <c r="G111" s="43" t="s">
        <v>96</v>
      </c>
      <c r="H111" s="42" t="s">
        <v>331</v>
      </c>
    </row>
    <row r="112" customFormat="false" ht="15" hidden="false" customHeight="false" outlineLevel="0" collapsed="false">
      <c r="A112" s="42" t="s">
        <v>182</v>
      </c>
      <c r="B112" s="42" t="s">
        <v>100</v>
      </c>
      <c r="C112" s="42" t="s">
        <v>467</v>
      </c>
      <c r="D112" s="42" t="s">
        <v>468</v>
      </c>
      <c r="E112" s="42" t="s">
        <v>469</v>
      </c>
      <c r="F112" s="42" t="s">
        <v>470</v>
      </c>
      <c r="G112" s="43" t="s">
        <v>96</v>
      </c>
      <c r="H112" s="42" t="s">
        <v>471</v>
      </c>
    </row>
    <row r="113" customFormat="false" ht="23.85" hidden="false" customHeight="false" outlineLevel="0" collapsed="false">
      <c r="A113" s="42" t="s">
        <v>182</v>
      </c>
      <c r="B113" s="42" t="s">
        <v>100</v>
      </c>
      <c r="C113" s="42" t="s">
        <v>472</v>
      </c>
      <c r="D113" s="42" t="s">
        <v>473</v>
      </c>
      <c r="E113" s="42" t="s">
        <v>189</v>
      </c>
      <c r="F113" s="42" t="s">
        <v>189</v>
      </c>
      <c r="G113" s="43" t="s">
        <v>96</v>
      </c>
      <c r="H113" s="42" t="s">
        <v>331</v>
      </c>
    </row>
    <row r="114" customFormat="false" ht="46.25" hidden="false" customHeight="false" outlineLevel="0" collapsed="false">
      <c r="A114" s="42" t="s">
        <v>182</v>
      </c>
      <c r="B114" s="42" t="s">
        <v>100</v>
      </c>
      <c r="C114" s="42" t="s">
        <v>474</v>
      </c>
      <c r="D114" s="42" t="s">
        <v>475</v>
      </c>
      <c r="E114" s="42" t="s">
        <v>476</v>
      </c>
      <c r="F114" s="42" t="s">
        <v>477</v>
      </c>
      <c r="G114" s="43" t="s">
        <v>96</v>
      </c>
      <c r="H114" s="42" t="s">
        <v>478</v>
      </c>
    </row>
    <row r="115" customFormat="false" ht="23.85" hidden="false" customHeight="false" outlineLevel="0" collapsed="false">
      <c r="A115" s="42" t="s">
        <v>207</v>
      </c>
      <c r="B115" s="42" t="s">
        <v>100</v>
      </c>
      <c r="C115" s="42" t="s">
        <v>338</v>
      </c>
      <c r="D115" s="42" t="s">
        <v>479</v>
      </c>
      <c r="E115" s="42" t="s">
        <v>189</v>
      </c>
      <c r="F115" s="42" t="s">
        <v>189</v>
      </c>
      <c r="G115" s="45" t="s">
        <v>190</v>
      </c>
      <c r="H115" s="42" t="s">
        <v>480</v>
      </c>
    </row>
    <row r="116" customFormat="false" ht="23.85" hidden="false" customHeight="false" outlineLevel="0" collapsed="false">
      <c r="A116" s="42" t="s">
        <v>207</v>
      </c>
      <c r="B116" s="42" t="s">
        <v>100</v>
      </c>
      <c r="C116" s="42" t="s">
        <v>214</v>
      </c>
      <c r="D116" s="42" t="s">
        <v>481</v>
      </c>
      <c r="E116" s="42" t="s">
        <v>189</v>
      </c>
      <c r="F116" s="42" t="s">
        <v>189</v>
      </c>
      <c r="G116" s="45" t="s">
        <v>190</v>
      </c>
      <c r="H116" s="42" t="s">
        <v>213</v>
      </c>
    </row>
    <row r="117" customFormat="false" ht="23.85" hidden="false" customHeight="false" outlineLevel="0" collapsed="false">
      <c r="A117" s="42" t="s">
        <v>207</v>
      </c>
      <c r="B117" s="42" t="s">
        <v>100</v>
      </c>
      <c r="C117" s="42" t="s">
        <v>482</v>
      </c>
      <c r="D117" s="42" t="s">
        <v>483</v>
      </c>
      <c r="E117" s="42" t="s">
        <v>189</v>
      </c>
      <c r="F117" s="42" t="s">
        <v>189</v>
      </c>
      <c r="G117" s="45" t="s">
        <v>190</v>
      </c>
      <c r="H117" s="42" t="s">
        <v>213</v>
      </c>
    </row>
    <row r="118" customFormat="false" ht="23.85" hidden="false" customHeight="false" outlineLevel="0" collapsed="false">
      <c r="A118" s="42" t="s">
        <v>207</v>
      </c>
      <c r="B118" s="42" t="s">
        <v>100</v>
      </c>
      <c r="C118" s="42" t="s">
        <v>484</v>
      </c>
      <c r="D118" s="42" t="s">
        <v>440</v>
      </c>
      <c r="E118" s="42" t="s">
        <v>189</v>
      </c>
      <c r="F118" s="42" t="s">
        <v>189</v>
      </c>
      <c r="G118" s="45" t="s">
        <v>190</v>
      </c>
      <c r="H118" s="42" t="s">
        <v>213</v>
      </c>
    </row>
    <row r="119" customFormat="false" ht="23.85" hidden="false" customHeight="false" outlineLevel="0" collapsed="false">
      <c r="A119" s="42" t="s">
        <v>207</v>
      </c>
      <c r="B119" s="42" t="s">
        <v>100</v>
      </c>
      <c r="C119" s="42" t="s">
        <v>485</v>
      </c>
      <c r="D119" s="42" t="s">
        <v>347</v>
      </c>
      <c r="E119" s="42" t="s">
        <v>189</v>
      </c>
      <c r="F119" s="42" t="s">
        <v>189</v>
      </c>
      <c r="G119" s="45" t="s">
        <v>190</v>
      </c>
      <c r="H119" s="42" t="s">
        <v>213</v>
      </c>
    </row>
    <row r="120" customFormat="false" ht="23.85" hidden="false" customHeight="false" outlineLevel="0" collapsed="false">
      <c r="A120" s="42" t="s">
        <v>222</v>
      </c>
      <c r="B120" s="42" t="s">
        <v>100</v>
      </c>
      <c r="C120" s="42" t="s">
        <v>486</v>
      </c>
      <c r="D120" s="42" t="s">
        <v>487</v>
      </c>
      <c r="E120" s="42" t="s">
        <v>189</v>
      </c>
      <c r="F120" s="42" t="s">
        <v>189</v>
      </c>
      <c r="G120" s="46" t="s">
        <v>108</v>
      </c>
      <c r="H120" s="42" t="s">
        <v>488</v>
      </c>
    </row>
    <row r="121" customFormat="false" ht="23.85" hidden="false" customHeight="false" outlineLevel="0" collapsed="false">
      <c r="A121" s="42" t="s">
        <v>222</v>
      </c>
      <c r="B121" s="42" t="s">
        <v>100</v>
      </c>
      <c r="C121" s="42" t="s">
        <v>489</v>
      </c>
      <c r="D121" s="42" t="s">
        <v>490</v>
      </c>
      <c r="E121" s="42" t="s">
        <v>189</v>
      </c>
      <c r="F121" s="42" t="s">
        <v>189</v>
      </c>
      <c r="G121" s="46" t="s">
        <v>108</v>
      </c>
      <c r="H121" s="42" t="s">
        <v>228</v>
      </c>
    </row>
    <row r="122" customFormat="false" ht="23.85" hidden="false" customHeight="false" outlineLevel="0" collapsed="false">
      <c r="A122" s="42" t="s">
        <v>222</v>
      </c>
      <c r="B122" s="42" t="s">
        <v>100</v>
      </c>
      <c r="C122" s="42" t="s">
        <v>491</v>
      </c>
      <c r="D122" s="42" t="s">
        <v>492</v>
      </c>
      <c r="E122" s="42" t="s">
        <v>189</v>
      </c>
      <c r="F122" s="42" t="s">
        <v>189</v>
      </c>
      <c r="G122" s="46" t="s">
        <v>108</v>
      </c>
      <c r="H122" s="42" t="s">
        <v>228</v>
      </c>
    </row>
    <row r="123" customFormat="false" ht="23.85" hidden="false" customHeight="false" outlineLevel="0" collapsed="false">
      <c r="A123" s="42" t="s">
        <v>222</v>
      </c>
      <c r="B123" s="42" t="s">
        <v>100</v>
      </c>
      <c r="C123" s="42" t="s">
        <v>493</v>
      </c>
      <c r="D123" s="42" t="s">
        <v>440</v>
      </c>
      <c r="E123" s="42" t="s">
        <v>189</v>
      </c>
      <c r="F123" s="42" t="s">
        <v>189</v>
      </c>
      <c r="G123" s="46" t="s">
        <v>108</v>
      </c>
      <c r="H123" s="42" t="s">
        <v>228</v>
      </c>
    </row>
    <row r="124" customFormat="false" ht="23.85" hidden="false" customHeight="false" outlineLevel="0" collapsed="false">
      <c r="A124" s="42" t="s">
        <v>222</v>
      </c>
      <c r="B124" s="42" t="s">
        <v>100</v>
      </c>
      <c r="C124" s="42" t="s">
        <v>494</v>
      </c>
      <c r="D124" s="42" t="s">
        <v>475</v>
      </c>
      <c r="E124" s="42" t="s">
        <v>189</v>
      </c>
      <c r="F124" s="42" t="s">
        <v>189</v>
      </c>
      <c r="G124" s="46" t="s">
        <v>108</v>
      </c>
      <c r="H124" s="42" t="s">
        <v>495</v>
      </c>
    </row>
    <row r="125" customFormat="false" ht="35.05" hidden="false" customHeight="false" outlineLevel="0" collapsed="false">
      <c r="A125" s="42" t="s">
        <v>238</v>
      </c>
      <c r="B125" s="42" t="s">
        <v>100</v>
      </c>
      <c r="C125" s="42" t="s">
        <v>496</v>
      </c>
      <c r="D125" s="42" t="s">
        <v>497</v>
      </c>
      <c r="E125" s="42" t="s">
        <v>189</v>
      </c>
      <c r="F125" s="42" t="s">
        <v>189</v>
      </c>
      <c r="G125" s="46" t="s">
        <v>108</v>
      </c>
      <c r="H125" s="42" t="s">
        <v>498</v>
      </c>
    </row>
  </sheetData>
  <mergeCells count="4">
    <mergeCell ref="J2:L2"/>
    <mergeCell ref="J3:L3"/>
    <mergeCell ref="J4:L4"/>
    <mergeCell ref="J5:L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2026-08-31T07:41:51Z</dcterms:created>
  <dc:creator>openpyxl</dc:creator>
  <dc:description/>
  <dc:language>en-US</dc:language>
  <cp:lastModifiedBy>Rishu Kumar</cp:lastModifiedBy>
  <dcterms:modified xsi:type="dcterms:W3CDTF">2026-09-10T05:27:53Z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